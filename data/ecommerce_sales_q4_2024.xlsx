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afc5af53dcd307/Desktop/INTERNSHIPS/"/>
    </mc:Choice>
  </mc:AlternateContent>
  <xr:revisionPtr revIDLastSave="0" documentId="10_ncr:8_{4688DBD1-DCE0-422F-BD9C-41693B202D6F}" xr6:coauthVersionLast="47" xr6:coauthVersionMax="47" xr10:uidLastSave="{00000000-0000-0000-0000-000000000000}"/>
  <bookViews>
    <workbookView xWindow="-120" yWindow="-120" windowWidth="20730" windowHeight="11040" firstSheet="3" activeTab="7" xr2:uid="{BA18472C-C9EA-41C5-9E03-7E293065991F}"/>
  </bookViews>
  <sheets>
    <sheet name="raw_data(dont change)" sheetId="1" r:id="rId1"/>
    <sheet name="Working_Data" sheetId="2" r:id="rId2"/>
    <sheet name="Trend_Analysis" sheetId="6" r:id="rId3"/>
    <sheet name="Descriptive_Analysis" sheetId="5" r:id="rId4"/>
    <sheet name="VALIDATION_SUMMARY" sheetId="4" r:id="rId5"/>
    <sheet name="Final_KPIs" sheetId="9" r:id="rId6"/>
    <sheet name="Cleaning_Log" sheetId="3" r:id="rId7"/>
    <sheet name="Insights_Summary" sheetId="8" r:id="rId8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E23" i="5" l="1" a="1"/>
  <c r="E23" i="5" s="1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2" i="5"/>
  <c r="G14" i="5"/>
  <c r="G13" i="5"/>
  <c r="G12" i="5"/>
  <c r="G11" i="5"/>
  <c r="G10" i="5"/>
  <c r="D24" i="6"/>
  <c r="D23" i="6"/>
  <c r="D22" i="6"/>
  <c r="C24" i="6"/>
  <c r="C23" i="6"/>
  <c r="C22" i="6"/>
  <c r="B22" i="6"/>
  <c r="B23" i="6"/>
  <c r="B24" i="6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2" i="2"/>
  <c r="A2" i="5"/>
  <c r="F2" i="9"/>
  <c r="E2" i="9"/>
  <c r="D2" i="9"/>
  <c r="C2" i="9"/>
  <c r="B2" i="9"/>
  <c r="A2" i="9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2" i="6"/>
  <c r="Y3" i="2"/>
  <c r="Y2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F7" i="5"/>
  <c r="F6" i="5"/>
  <c r="F5" i="5"/>
  <c r="D2" i="5"/>
  <c r="E2" i="5"/>
  <c r="F2" i="5"/>
  <c r="C2" i="5"/>
  <c r="B2" i="5"/>
  <c r="C6" i="4"/>
  <c r="C5" i="4"/>
  <c r="D6" i="4" s="1"/>
  <c r="C4" i="4"/>
  <c r="D4" i="4" s="1"/>
  <c r="C3" i="4"/>
  <c r="D3" i="4" s="1"/>
  <c r="C2" i="4"/>
  <c r="D2" i="4" s="1"/>
  <c r="F23" i="5" l="1"/>
  <c r="F19" i="5"/>
  <c r="E19" i="5" s="1" a="1"/>
  <c r="E19" i="5" s="1"/>
  <c r="F20" i="5"/>
  <c r="E20" i="5" s="1" a="1"/>
  <c r="E20" i="5" s="1"/>
  <c r="F21" i="5"/>
  <c r="E21" i="5" s="1" a="1"/>
  <c r="E21" i="5" s="1"/>
  <c r="F22" i="5"/>
  <c r="E22" i="5" s="1" a="1"/>
  <c r="E22" i="5" s="1"/>
  <c r="G2" i="5"/>
  <c r="A2" i="6"/>
  <c r="C2" i="6" l="1"/>
  <c r="A3" i="6"/>
  <c r="C4" i="6" s="1"/>
  <c r="C3" i="6"/>
  <c r="B2" i="6"/>
  <c r="A4" i="6"/>
  <c r="C5" i="6" s="1"/>
  <c r="B3" i="6"/>
  <c r="A5" i="6" l="1"/>
  <c r="C6" i="6" s="1"/>
  <c r="B4" i="6"/>
  <c r="A6" i="6" l="1"/>
  <c r="C7" i="6" s="1"/>
  <c r="B5" i="6"/>
  <c r="A7" i="6" l="1"/>
  <c r="C8" i="6" s="1"/>
  <c r="B6" i="6"/>
  <c r="A8" i="6" l="1"/>
  <c r="C9" i="6" s="1"/>
  <c r="B7" i="6"/>
  <c r="A9" i="6" l="1"/>
  <c r="C10" i="6" s="1"/>
  <c r="B8" i="6"/>
  <c r="A10" i="6" l="1"/>
  <c r="C11" i="6" s="1"/>
  <c r="B9" i="6"/>
  <c r="A11" i="6" l="1"/>
  <c r="C12" i="6" s="1"/>
  <c r="B10" i="6"/>
  <c r="A12" i="6" l="1"/>
  <c r="C13" i="6" s="1"/>
  <c r="B11" i="6"/>
  <c r="A13" i="6" l="1"/>
  <c r="C14" i="6" s="1"/>
  <c r="B12" i="6"/>
  <c r="A14" i="6" l="1"/>
  <c r="C15" i="6" s="1"/>
  <c r="B13" i="6"/>
  <c r="A15" i="6" l="1"/>
  <c r="C16" i="6" s="1"/>
  <c r="B14" i="6"/>
  <c r="A16" i="6" l="1"/>
  <c r="B15" i="6"/>
  <c r="B16" i="6" l="1"/>
</calcChain>
</file>

<file path=xl/sharedStrings.xml><?xml version="1.0" encoding="utf-8"?>
<sst xmlns="http://purl.oclc.org/ooxml/spreadsheetml/main" count="10683" uniqueCount="1563">
  <si>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</si>
  <si>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</si>
  <si>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</si>
  <si>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</si>
  <si>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</si>
  <si>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</si>
  <si>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</si>
  <si>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</si>
  <si>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</si>
  <si>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</si>
  <si>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</si>
  <si>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</si>
  <si>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</si>
  <si>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</si>
  <si>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</si>
  <si>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</si>
  <si>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</si>
  <si>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</si>
  <si>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</si>
  <si>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</si>
  <si>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</si>
  <si>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</si>
  <si>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</si>
  <si>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</si>
  <si>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</si>
  <si>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</si>
  <si>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</si>
  <si>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</si>
  <si>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</si>
  <si>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</si>
  <si>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</si>
  <si>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</si>
  <si>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</si>
  <si>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</si>
  <si>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</si>
  <si>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</si>
  <si>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</si>
  <si>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</si>
  <si>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</si>
  <si>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</si>
  <si>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</si>
  <si>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</si>
  <si>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</si>
  <si>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</si>
  <si>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</si>
  <si>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</si>
  <si>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</si>
  <si>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</si>
  <si>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</si>
  <si>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</si>
  <si>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</si>
  <si>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</si>
  <si>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</si>
  <si>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</si>
  <si>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</si>
  <si>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</si>
  <si>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</si>
  <si>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</si>
  <si>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</si>
  <si>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</si>
  <si>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</si>
  <si>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</si>
  <si>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</si>
  <si>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</si>
  <si>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</si>
  <si>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</si>
  <si>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</si>
  <si>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</si>
  <si>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</si>
  <si>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</si>
  <si>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</si>
  <si>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</si>
  <si>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</si>
  <si>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</si>
  <si>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</si>
  <si>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</si>
  <si>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</si>
  <si>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</si>
  <si>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</si>
  <si>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</si>
  <si>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</si>
  <si>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</si>
  <si>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</si>
  <si>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</si>
  <si>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</si>
  <si>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</si>
  <si>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</si>
  <si>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</si>
  <si>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</si>
  <si>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</si>
  <si>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</si>
  <si>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</si>
  <si>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</si>
  <si>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</si>
  <si>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</si>
  <si>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</si>
  <si>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</si>
  <si>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</si>
  <si>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</si>
  <si>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</si>
  <si>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</si>
  <si>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</si>
  <si>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</si>
  <si>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</si>
  <si>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</si>
  <si>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</si>
  <si>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</si>
  <si>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</si>
  <si>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</si>
  <si>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</si>
  <si>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</si>
  <si>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</si>
  <si>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</si>
  <si>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</si>
  <si>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</si>
  <si>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</si>
  <si>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</si>
  <si>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</si>
  <si>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</si>
  <si>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</si>
  <si>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</si>
  <si>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</si>
  <si>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</si>
  <si>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</si>
  <si>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</si>
  <si>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</si>
  <si>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</si>
  <si>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</si>
  <si>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</si>
  <si>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</si>
  <si>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</si>
  <si>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</si>
  <si>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</si>
  <si>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</si>
  <si>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</si>
  <si>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</si>
  <si>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</si>
  <si>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</si>
  <si>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</si>
  <si>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</si>
  <si>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</si>
  <si>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</si>
  <si>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</si>
  <si>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</si>
  <si>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</si>
  <si>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Delievered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</si>
  <si>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</si>
  <si>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</si>
  <si>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</si>
  <si>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</si>
  <si>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</si>
  <si>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</si>
  <si>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</si>
  <si>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</si>
  <si>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</si>
  <si>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</si>
  <si>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</si>
  <si>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</si>
  <si>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</si>
  <si>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</si>
  <si>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</si>
  <si>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</si>
  <si>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</si>
  <si>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</si>
  <si>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</si>
  <si>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</si>
  <si>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</si>
  <si>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</si>
  <si>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</si>
  <si>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</si>
  <si>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</si>
  <si>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</si>
  <si>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</si>
  <si>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</si>
  <si>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</si>
  <si>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</si>
  <si>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</si>
  <si>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</si>
  <si>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</si>
  <si>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</si>
  <si>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</si>
  <si>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</si>
  <si>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</si>
  <si>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</si>
  <si>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</si>
  <si>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</si>
  <si>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</si>
  <si>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</si>
  <si>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</si>
  <si>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</si>
  <si>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</si>
  <si>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</si>
  <si>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</si>
  <si>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</si>
  <si>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</si>
  <si>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</si>
  <si>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</si>
  <si>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</si>
  <si>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</si>
  <si>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</si>
  <si>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</si>
  <si>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</si>
  <si>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</si>
  <si>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</si>
  <si>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</si>
  <si>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</si>
  <si>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</si>
  <si>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</si>
  <si>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</si>
  <si>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</si>
  <si>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</si>
  <si>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</si>
  <si>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</si>
  <si>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</si>
  <si>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</si>
  <si>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</si>
  <si>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</si>
  <si>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</si>
  <si>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</si>
  <si>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</si>
  <si>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</si>
  <si>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</si>
  <si>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</si>
  <si>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</si>
  <si>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</si>
  <si>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</si>
  <si>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</si>
  <si>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</si>
  <si>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</si>
  <si>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</si>
  <si>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</si>
  <si>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</si>
  <si>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</si>
  <si>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</si>
  <si>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</si>
  <si>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</si>
  <si>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</si>
  <si>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</si>
  <si>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</si>
  <si>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</si>
  <si>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</si>
  <si>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</si>
  <si>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</si>
  <si>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</si>
  <si>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</si>
  <si>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</si>
  <si>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</si>
  <si>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</si>
  <si>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</si>
  <si>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</si>
  <si>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</si>
  <si>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</si>
  <si>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</si>
  <si>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</si>
  <si>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</si>
  <si>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</si>
  <si>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</si>
  <si>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</si>
  <si>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</si>
  <si>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</si>
  <si>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</si>
  <si>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</si>
  <si>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</si>
  <si>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</si>
  <si>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</si>
  <si>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</si>
  <si>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</si>
  <si>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</si>
  <si>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</si>
  <si>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</si>
  <si>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</si>
  <si>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</si>
  <si>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</si>
  <si>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</si>
  <si>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</si>
  <si>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</si>
  <si>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</si>
  <si>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</si>
  <si>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</si>
  <si>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</si>
  <si>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</si>
  <si>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</si>
  <si>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</si>
  <si>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</si>
  <si>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</si>
  <si>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</si>
  <si>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</si>
  <si>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</si>
  <si>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</si>
  <si>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</si>
  <si>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</si>
  <si>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</si>
  <si>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</si>
  <si>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</si>
  <si>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</si>
  <si>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</si>
  <si>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</si>
  <si>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</si>
  <si>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</si>
  <si>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</si>
  <si>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</si>
  <si>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</si>
  <si>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</si>
  <si>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</si>
  <si>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</si>
  <si>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</si>
  <si>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</si>
  <si>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</si>
  <si>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</si>
  <si>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</si>
  <si>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</si>
  <si>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</si>
  <si>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</si>
  <si>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</si>
  <si>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</si>
  <si>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</si>
  <si>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</si>
  <si>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</si>
  <si>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</si>
  <si>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</si>
  <si>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</si>
  <si>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</si>
  <si>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</si>
  <si>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</si>
  <si>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</si>
  <si>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</si>
  <si>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</si>
  <si>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</si>
  <si>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</si>
  <si>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</si>
  <si>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</si>
  <si>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</si>
  <si>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</si>
  <si>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</si>
  <si>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</si>
  <si>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</si>
  <si>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</si>
  <si>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</si>
  <si>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</si>
  <si>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</si>
  <si>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</si>
  <si>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</si>
  <si>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</si>
  <si>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</si>
  <si>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</si>
  <si>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</si>
  <si>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</si>
  <si>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</si>
  <si>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</si>
  <si>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</si>
  <si>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</si>
  <si>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</si>
  <si>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</si>
  <si>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</si>
  <si>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</si>
  <si>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</si>
  <si>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</si>
  <si>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</si>
  <si>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</si>
  <si>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</si>
  <si>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</si>
  <si>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</si>
  <si>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</si>
  <si>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</si>
  <si>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</si>
  <si>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</si>
  <si>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</si>
  <si>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</si>
  <si>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</si>
  <si>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</si>
  <si>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</si>
  <si>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</si>
  <si>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</si>
  <si>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</si>
  <si>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</si>
  <si>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</si>
  <si>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</si>
  <si>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</si>
  <si>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</si>
  <si>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</si>
  <si>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</si>
  <si>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</si>
  <si>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</si>
  <si>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</si>
  <si>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</si>
  <si>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</si>
  <si>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</si>
  <si>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</si>
  <si>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</si>
  <si>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</si>
  <si>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</si>
  <si>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</si>
  <si>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</si>
  <si>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</si>
  <si>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</si>
  <si>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</si>
  <si>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</si>
  <si>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</si>
  <si>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</si>
  <si>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</si>
  <si>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</si>
  <si>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</si>
  <si>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</si>
  <si>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</si>
  <si>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</si>
  <si>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</si>
  <si>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</si>
  <si>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</si>
  <si>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</si>
  <si>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</si>
  <si>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</si>
  <si>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</si>
  <si>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</si>
  <si>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</si>
  <si>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</si>
  <si>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</si>
  <si>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</si>
  <si>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</si>
  <si>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</si>
  <si>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</si>
  <si>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</si>
  <si>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</si>
  <si>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</si>
  <si>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</si>
  <si>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</si>
  <si>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</si>
  <si>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</si>
  <si>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</si>
  <si>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</si>
  <si>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</si>
  <si>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</si>
  <si>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</si>
  <si>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</si>
  <si>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</si>
  <si>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</si>
  <si>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</si>
  <si>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</si>
  <si>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</si>
  <si>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</si>
  <si>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</si>
  <si>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</si>
  <si>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</si>
  <si>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</si>
  <si>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</si>
  <si>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</si>
  <si>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</si>
  <si>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</si>
  <si>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</si>
  <si>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</si>
  <si>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</si>
  <si>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</si>
  <si>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</si>
  <si>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</si>
  <si>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</si>
  <si>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</si>
  <si>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</si>
  <si>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</si>
  <si>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</si>
  <si>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</si>
  <si>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</si>
  <si>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</si>
  <si>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</si>
  <si>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</si>
  <si>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</si>
  <si>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</si>
  <si>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</si>
  <si>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</si>
  <si>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</si>
  <si>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</si>
  <si>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</si>
  <si>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</si>
  <si>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</si>
  <si>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</si>
  <si>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</si>
  <si>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</si>
  <si>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</si>
  <si>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</si>
  <si>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</si>
  <si>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</si>
  <si>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</si>
  <si>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</si>
  <si>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</si>
  <si>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</si>
  <si>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</si>
  <si>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</si>
  <si>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</si>
  <si>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</si>
  <si>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</si>
  <si>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</si>
  <si>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</si>
  <si>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</si>
  <si>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</si>
  <si>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</si>
  <si>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</si>
  <si>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</si>
  <si>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</si>
  <si>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</si>
  <si>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</si>
  <si>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</si>
  <si>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</si>
  <si>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</si>
  <si>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</si>
  <si>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</si>
  <si>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</si>
  <si>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</si>
  <si>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</si>
  <si>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</si>
  <si>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</si>
  <si>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</si>
  <si>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</si>
  <si>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</si>
  <si>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</si>
  <si>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</si>
  <si>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</si>
  <si>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</si>
  <si>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</si>
  <si>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</si>
  <si>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</si>
  <si>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</si>
  <si>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</si>
  <si>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</si>
  <si>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</si>
  <si>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</si>
  <si>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</si>
  <si>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</si>
  <si>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</si>
  <si>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</si>
  <si>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</si>
  <si>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</si>
  <si>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</si>
  <si>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</si>
  <si>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</si>
  <si>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</si>
  <si>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</si>
  <si>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</si>
  <si>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</si>
  <si>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</si>
  <si>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</si>
  <si>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</si>
  <si>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</si>
  <si>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</si>
  <si>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</si>
  <si>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</si>
  <si>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</si>
  <si>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</si>
  <si>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</si>
  <si>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</si>
  <si>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</si>
  <si>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</si>
  <si>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</si>
  <si>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</si>
  <si>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</si>
  <si>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</si>
  <si>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</si>
  <si>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</si>
  <si>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</si>
  <si>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</si>
  <si>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</si>
  <si>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</si>
  <si>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</si>
  <si>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</si>
  <si>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</si>
  <si>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</si>
  <si>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</si>
  <si>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</si>
  <si>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</si>
  <si>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</si>
  <si>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</si>
  <si>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</si>
  <si>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</si>
  <si>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</si>
  <si>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</si>
  <si>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</si>
  <si>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</si>
  <si>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</si>
  <si>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</si>
  <si>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</si>
  <si>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</si>
  <si>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</si>
  <si>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</si>
  <si>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</si>
  <si>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</si>
  <si>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</si>
  <si>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</si>
  <si>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</si>
  <si>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</si>
  <si>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</si>
  <si>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</si>
  <si>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</si>
  <si>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</si>
  <si>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</si>
  <si>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</si>
  <si>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</si>
  <si>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</si>
  <si>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</si>
  <si>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</si>
  <si>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</si>
  <si>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</si>
  <si>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</si>
  <si>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</si>
  <si>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</si>
  <si>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</si>
  <si>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</si>
  <si>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</si>
  <si>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</si>
  <si>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</si>
  <si>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</si>
  <si>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</si>
  <si>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</si>
  <si>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</si>
  <si>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</si>
  <si>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</si>
  <si>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</si>
  <si>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</si>
  <si>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</si>
  <si>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</si>
  <si>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</si>
  <si>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</si>
  <si>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</si>
  <si>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</si>
  <si>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</si>
  <si>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</si>
  <si>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</si>
  <si>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</si>
  <si>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</si>
  <si>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</si>
  <si>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</si>
  <si>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</si>
  <si>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</si>
  <si>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</si>
  <si>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</si>
  <si>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</si>
  <si>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</si>
  <si>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</si>
  <si>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</si>
  <si>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</si>
  <si>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</si>
  <si>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</si>
  <si>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</si>
  <si>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</si>
  <si>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</si>
  <si>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</si>
  <si>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</si>
  <si>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</si>
  <si>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</si>
  <si>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</si>
  <si>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</si>
  <si>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</si>
  <si>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</si>
  <si>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</si>
  <si>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</si>
  <si>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</si>
  <si>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</si>
  <si>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</si>
  <si>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</si>
  <si>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</si>
  <si>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</si>
  <si>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</si>
  <si>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</si>
  <si>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</si>
  <si>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</si>
  <si>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</si>
  <si>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</si>
  <si>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</si>
  <si>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</si>
  <si>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</si>
  <si>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</si>
  <si>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</si>
  <si>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</si>
  <si>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</si>
  <si>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</si>
  <si>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</si>
  <si>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</si>
  <si>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</si>
  <si>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</si>
  <si>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</si>
  <si>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</si>
  <si>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</si>
  <si>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</si>
  <si>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</si>
  <si>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</si>
  <si>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</si>
  <si>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</si>
  <si>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</si>
  <si>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</si>
  <si>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</si>
  <si>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</si>
  <si>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</si>
  <si>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</si>
  <si>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</si>
  <si>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</si>
  <si>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</si>
  <si>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</si>
  <si>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</si>
  <si>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</si>
  <si>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</si>
  <si>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</si>
  <si>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</si>
  <si>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</si>
  <si>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</si>
  <si>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</si>
  <si>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</si>
  <si>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</si>
  <si>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</si>
  <si>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</si>
  <si>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</si>
  <si>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</si>
  <si>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</si>
  <si>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</si>
  <si>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</si>
  <si>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</si>
  <si>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</si>
  <si>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</si>
  <si>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</si>
  <si>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</si>
  <si>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</si>
  <si>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</si>
  <si>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</si>
  <si>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</si>
  <si>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</si>
  <si>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</si>
  <si>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</si>
  <si>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</si>
  <si>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</si>
  <si>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</si>
  <si>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</si>
  <si>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</si>
  <si>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</si>
  <si>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</si>
  <si>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</si>
  <si>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</si>
  <si>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</si>
  <si>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</si>
  <si>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</si>
  <si>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</si>
  <si>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</si>
  <si>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</si>
  <si>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</si>
  <si>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</si>
  <si>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</si>
  <si>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</si>
  <si>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</si>
  <si>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</si>
  <si>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</si>
  <si>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</si>
  <si>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</si>
  <si>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</si>
  <si>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</si>
  <si>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</si>
  <si>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</si>
  <si>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</si>
  <si>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</si>
  <si>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</si>
  <si>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</si>
  <si>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</si>
  <si>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</si>
  <si>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</si>
  <si>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</si>
  <si>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</si>
  <si>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</si>
  <si>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</si>
  <si>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</si>
  <si>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</si>
  <si>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</si>
  <si>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</si>
  <si>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</si>
  <si>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</si>
  <si>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</si>
  <si>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</si>
  <si>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</si>
  <si>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</si>
  <si>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</si>
  <si>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</si>
  <si>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</si>
  <si>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</si>
  <si>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</si>
  <si>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</si>
  <si>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</si>
  <si>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</si>
  <si>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</si>
  <si>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</si>
  <si>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</si>
  <si>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</si>
  <si>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</si>
  <si>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</si>
  <si>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</si>
  <si>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</si>
  <si>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</si>
  <si>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</si>
  <si>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</si>
  <si>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</si>
  <si>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</si>
  <si>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</si>
  <si>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</si>
  <si>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</si>
  <si>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</si>
  <si>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</si>
  <si>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</si>
  <si>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</si>
  <si>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</si>
  <si>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</si>
  <si>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</si>
  <si>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</si>
  <si>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</si>
  <si>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</si>
  <si>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</si>
  <si>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</si>
  <si>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</si>
  <si>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</si>
  <si>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</si>
  <si>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</si>
  <si>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</si>
  <si>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</si>
  <si>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</si>
  <si>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</si>
  <si>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</si>
  <si>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</si>
  <si>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</si>
  <si>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</si>
  <si>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</si>
  <si>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</si>
  <si>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</si>
  <si>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</si>
  <si>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</si>
  <si>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</si>
  <si>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</si>
  <si>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</si>
  <si>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</si>
  <si>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</si>
  <si>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</si>
  <si>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</si>
  <si>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</si>
  <si>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</si>
  <si>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</si>
  <si>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</si>
  <si>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</si>
  <si>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</si>
  <si>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</si>
  <si>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</si>
  <si>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</si>
  <si>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</si>
  <si>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</si>
  <si>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</si>
  <si>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</si>
  <si>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</si>
  <si>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</si>
  <si>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</si>
  <si>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</si>
  <si>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</si>
  <si>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</si>
  <si>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</si>
  <si>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</si>
  <si>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</si>
  <si>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</si>
  <si>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</si>
  <si>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</si>
  <si>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</si>
  <si>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</si>
  <si>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</si>
  <si>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</si>
  <si>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</si>
  <si>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</si>
  <si>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</si>
  <si>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</si>
  <si>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</si>
  <si>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</si>
  <si>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</si>
  <si>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</si>
  <si>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</si>
  <si>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</si>
  <si>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</si>
  <si>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</si>
  <si>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</si>
  <si>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</si>
  <si>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</si>
  <si>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</si>
  <si>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</si>
  <si>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</si>
  <si>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</si>
  <si>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</si>
  <si>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</si>
  <si>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</si>
  <si>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</si>
  <si>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</si>
  <si>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</si>
  <si>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</si>
  <si>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</si>
  <si>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</si>
  <si>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</si>
  <si>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</si>
  <si>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</si>
  <si>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</si>
  <si>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</si>
  <si>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</si>
  <si>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</si>
  <si>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</si>
  <si>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</si>
  <si>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</si>
  <si>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</si>
  <si>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</si>
  <si>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</si>
  <si>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</si>
  <si>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</si>
  <si>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</si>
  <si>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</si>
  <si>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</si>
  <si>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</si>
  <si>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</si>
  <si>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</si>
  <si>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</si>
  <si>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</si>
  <si>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</si>
  <si>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</si>
  <si>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</si>
  <si>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</si>
  <si>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</si>
  <si>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</si>
  <si>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</si>
  <si>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</si>
  <si>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</si>
  <si>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</si>
  <si>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</si>
  <si>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</si>
  <si>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</si>
  <si>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</si>
  <si>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</si>
  <si>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</si>
  <si>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</si>
  <si>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</si>
  <si>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</si>
  <si>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</si>
  <si>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</si>
  <si>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</si>
  <si>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</si>
  <si>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</si>
  <si>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</si>
  <si>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</si>
  <si>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</si>
  <si>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</si>
  <si>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</si>
  <si>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</si>
  <si>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</si>
  <si>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</si>
  <si>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</si>
  <si>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</si>
  <si>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</si>
  <si>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</si>
  <si>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</si>
  <si>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</si>
  <si>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</si>
  <si>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</si>
  <si>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</si>
  <si>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</si>
  <si>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</si>
  <si>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</si>
  <si>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</si>
  <si>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</si>
  <si>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</si>
  <si>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</si>
  <si>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</si>
  <si>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</si>
  <si>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</si>
  <si>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</si>
  <si>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</si>
  <si>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</si>
  <si>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</si>
  <si>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</si>
  <si>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</si>
  <si>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</si>
  <si>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</si>
  <si>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</si>
  <si>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</si>
  <si>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</si>
  <si>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</si>
  <si>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</si>
  <si>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</si>
  <si>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</si>
  <si>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</si>
  <si>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</si>
  <si>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</si>
  <si>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</si>
  <si>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</si>
  <si>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</si>
  <si>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</si>
  <si>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</si>
  <si>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</si>
  <si>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</si>
  <si>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</si>
  <si>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</si>
  <si>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</si>
  <si>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</si>
  <si>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</si>
  <si>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</si>
  <si>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</si>
  <si>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</si>
  <si>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</si>
  <si>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</si>
  <si>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</si>
  <si>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</si>
  <si>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</si>
  <si>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</si>
  <si>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</si>
  <si>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</si>
  <si>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</si>
  <si>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</si>
  <si>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</si>
  <si>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</si>
  <si>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</si>
  <si>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</si>
  <si>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</si>
  <si>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</si>
  <si>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</si>
  <si>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</si>
  <si>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</si>
  <si>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</si>
  <si>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</si>
  <si>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</si>
  <si>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</si>
  <si>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</si>
  <si>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</si>
  <si>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</si>
  <si>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</si>
  <si>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</si>
  <si>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</si>
  <si>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</si>
  <si>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</si>
  <si>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</si>
  <si>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</si>
  <si>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</si>
  <si>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</si>
  <si>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</si>
  <si>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</si>
  <si>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</si>
  <si>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</si>
  <si>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</si>
  <si>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</si>
  <si>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</si>
  <si>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</si>
  <si>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</si>
  <si>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</si>
  <si>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</si>
  <si>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</si>
  <si>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</si>
  <si>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</si>
  <si>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</si>
  <si>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</si>
  <si>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</si>
  <si>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</si>
  <si>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</si>
  <si>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</si>
  <si>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</si>
  <si>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</si>
  <si>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</si>
  <si>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</si>
  <si>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</si>
  <si>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</si>
  <si>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</si>
  <si>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</si>
  <si>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</si>
  <si>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</si>
  <si>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</si>
  <si>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</si>
  <si>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</si>
  <si>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</si>
  <si>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</si>
  <si>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</si>
  <si>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</si>
  <si>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</si>
  <si>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</si>
  <si>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</si>
  <si>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</si>
  <si>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</si>
  <si>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</si>
  <si>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</si>
  <si>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</si>
  <si>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</si>
  <si>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</si>
  <si>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</si>
  <si>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</si>
  <si>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</si>
  <si>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</si>
  <si>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</si>
  <si>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</si>
  <si>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</si>
  <si>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</si>
  <si>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</si>
  <si>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</si>
  <si>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</si>
  <si>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</si>
  <si>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</si>
  <si>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</si>
  <si>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</si>
  <si>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</si>
  <si>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</si>
  <si>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</si>
  <si>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</si>
  <si>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</si>
  <si>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</si>
  <si>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</si>
  <si>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</si>
  <si>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</si>
  <si>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</si>
  <si>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</si>
  <si>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</si>
  <si>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</si>
  <si>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</si>
  <si>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</si>
  <si>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</si>
  <si>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</si>
  <si>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</si>
  <si>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</si>
  <si>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</si>
  <si>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</si>
  <si>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</si>
  <si>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</si>
  <si>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</si>
  <si>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</si>
  <si>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</si>
  <si>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</si>
  <si>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</si>
  <si>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</si>
  <si>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</si>
  <si>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</si>
  <si>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</si>
  <si>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</si>
  <si>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</si>
  <si>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</si>
  <si>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</si>
  <si>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</si>
  <si>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</si>
  <si>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</si>
  <si>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</si>
  <si>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</si>
  <si>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</si>
  <si>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</si>
  <si>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</si>
  <si>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</si>
  <si>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</si>
  <si>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</si>
  <si>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</si>
  <si>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</si>
  <si>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</si>
  <si>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</si>
  <si>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</si>
  <si>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</si>
  <si>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</si>
  <si>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</si>
  <si>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</si>
  <si>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</si>
  <si>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</si>
  <si>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</si>
  <si>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</si>
  <si>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</si>
  <si>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</si>
  <si>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</si>
  <si>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</si>
  <si>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</si>
  <si>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</si>
  <si>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</si>
  <si>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</si>
  <si>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</si>
  <si>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</si>
  <si>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</si>
  <si>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</si>
  <si>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</si>
  <si>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</si>
  <si>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</si>
  <si>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</si>
  <si>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</si>
  <si>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</si>
  <si>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</si>
  <si>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</si>
  <si>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</si>
  <si>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</si>
  <si>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</si>
  <si>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</si>
  <si>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</si>
  <si>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</si>
  <si>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</si>
  <si>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</si>
  <si>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</si>
  <si>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</si>
  <si>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</si>
  <si>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</si>
  <si>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</si>
  <si>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</si>
  <si>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</si>
  <si>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</si>
  <si>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</si>
  <si>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</si>
  <si>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</si>
  <si>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</si>
  <si>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</si>
  <si>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</si>
  <si>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</si>
  <si>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</si>
  <si>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</si>
  <si>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</si>
  <si>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</si>
  <si>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</si>
  <si>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</si>
  <si>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</si>
  <si>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</si>
  <si>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</si>
  <si>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</si>
  <si>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</si>
  <si>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</si>
  <si>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</si>
  <si>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</si>
  <si>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</si>
  <si>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</si>
  <si>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</si>
  <si>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</si>
  <si>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</si>
  <si>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</si>
  <si>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</si>
  <si>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</si>
  <si>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</si>
  <si>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</si>
  <si>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</si>
  <si>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</si>
  <si>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</si>
  <si>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</si>
  <si>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</si>
  <si>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</si>
  <si>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</si>
  <si>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</si>
  <si>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</si>
  <si>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</si>
  <si>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</si>
  <si>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</si>
  <si>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</si>
  <si>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</si>
  <si>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</si>
  <si>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</si>
  <si>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</si>
  <si>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</si>
  <si>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</si>
  <si>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</si>
  <si>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</si>
  <si>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</si>
  <si>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</si>
  <si>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</si>
  <si>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</si>
  <si>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</si>
  <si>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</si>
  <si>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</si>
  <si>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</si>
  <si>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</si>
  <si>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</si>
  <si>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</si>
  <si>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</si>
  <si>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</si>
  <si>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</si>
  <si>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</si>
  <si>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</si>
  <si>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</si>
  <si>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</si>
  <si>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</si>
  <si>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</si>
  <si>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</si>
  <si>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</si>
  <si>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</si>
  <si>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</si>
  <si>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</si>
  <si>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</si>
  <si>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</si>
  <si>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</si>
  <si>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</si>
  <si>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</si>
  <si>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</si>
  <si>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</si>
  <si>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</si>
  <si>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</si>
  <si>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</si>
  <si>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</si>
  <si>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</si>
  <si>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</si>
  <si>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</si>
  <si>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</si>
  <si>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</si>
  <si>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</si>
  <si>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</si>
  <si>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</si>
  <si>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</si>
  <si>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</si>
  <si>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</si>
  <si>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</si>
  <si>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</si>
  <si>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</si>
  <si>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</si>
  <si>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</si>
  <si>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</si>
  <si>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</si>
  <si>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</si>
  <si>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</si>
  <si>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</si>
  <si>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</si>
  <si>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</si>
  <si>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</si>
  <si>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</si>
  <si>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</si>
  <si>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</si>
  <si>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</si>
  <si>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</si>
  <si>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</si>
  <si>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</si>
  <si>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</si>
  <si>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</si>
  <si>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</si>
  <si>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</si>
  <si>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</si>
  <si>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</si>
  <si>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</si>
  <si>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</si>
  <si>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</si>
  <si>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</si>
  <si>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</si>
  <si>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</si>
  <si>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</si>
  <si>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</si>
  <si>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</si>
  <si>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</si>
  <si>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</si>
  <si>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</si>
  <si>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</si>
  <si>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</si>
  <si>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</si>
  <si>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</si>
  <si>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</si>
  <si>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</si>
  <si>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</si>
  <si>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</si>
  <si>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</si>
  <si>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</si>
  <si>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</si>
  <si>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</si>
  <si>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</si>
  <si>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</si>
  <si>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</si>
  <si>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</si>
  <si>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</si>
  <si>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</si>
  <si>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</si>
  <si>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</si>
  <si>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</si>
  <si>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</si>
  <si>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</si>
  <si>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</si>
  <si>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</si>
  <si>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</si>
  <si>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</si>
  <si>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</si>
  <si>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</si>
  <si>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</si>
  <si>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</si>
  <si>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</si>
  <si>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</si>
  <si>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</si>
  <si>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</si>
  <si>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</si>
  <si>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</si>
  <si>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</si>
  <si>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</si>
  <si>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</si>
  <si>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</si>
  <si>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</si>
  <si>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</si>
  <si>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</si>
  <si>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</si>
  <si>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</si>
  <si>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</si>
  <si>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</si>
  <si>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</si>
  <si>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</si>
  <si>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</si>
  <si>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</si>
  <si>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</si>
  <si>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</si>
  <si>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</si>
  <si>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</si>
  <si>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</si>
  <si>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</si>
  <si>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</si>
  <si>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</si>
  <si>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</si>
  <si>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</si>
  <si>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</si>
  <si>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</si>
  <si>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</si>
  <si>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</si>
  <si>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</si>
  <si>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</si>
  <si>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</si>
  <si>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</si>
  <si>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</si>
  <si>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</si>
  <si>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</si>
  <si>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</si>
  <si>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</si>
  <si>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</si>
  <si>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</si>
  <si>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</si>
  <si>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</si>
  <si>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</si>
  <si>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</si>
  <si>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</si>
  <si>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</si>
  <si>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</si>
  <si>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</si>
  <si>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</si>
  <si>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</si>
  <si>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</si>
  <si>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</si>
  <si>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</si>
  <si>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</si>
  <si>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</si>
  <si>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</si>
  <si>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</si>
  <si>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</si>
  <si>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</si>
  <si>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</si>
  <si>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</si>
  <si>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</si>
  <si>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</si>
  <si>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</si>
  <si>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</si>
  <si>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</si>
  <si>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</si>
  <si>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</si>
  <si>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</si>
  <si>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</si>
  <si>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</si>
  <si>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</si>
  <si>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</si>
  <si>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</si>
  <si>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</si>
  <si>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</si>
  <si>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</si>
  <si>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</si>
  <si>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</si>
  <si>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</si>
  <si>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</si>
  <si>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</si>
  <si>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</si>
  <si>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</si>
  <si>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</si>
  <si>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</si>
  <si>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</si>
  <si>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</si>
  <si>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</si>
  <si>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</si>
  <si>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</si>
  <si>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</si>
  <si>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</si>
  <si>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</si>
  <si>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</si>
  <si>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</si>
  <si>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</si>
  <si>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</si>
  <si>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</si>
  <si>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</si>
  <si>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</si>
  <si>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</si>
  <si>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</si>
  <si>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</si>
  <si>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</si>
  <si>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</si>
  <si>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</si>
  <si>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</si>
  <si>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</si>
  <si>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</si>
  <si>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</si>
  <si>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</si>
  <si>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</si>
  <si>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</si>
  <si>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</si>
  <si>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Issue Type</t>
  </si>
  <si>
    <t>Column Name</t>
  </si>
  <si>
    <t>What I Observed</t>
  </si>
  <si>
    <t>Why It’s a Problem</t>
  </si>
  <si>
    <t>Action Taken</t>
  </si>
  <si>
    <t>Missing Value Check</t>
  </si>
  <si>
    <t>No missing values found in critical columns</t>
  </si>
  <si>
    <t>Critical fields must be present to ensure accurate order, revenue, and fulfillment analysis</t>
  </si>
  <si>
    <t>No action required</t>
  </si>
  <si>
    <t>Check Name</t>
  </si>
  <si>
    <t>Formula Used</t>
  </si>
  <si>
    <t>Result</t>
  </si>
  <si>
    <t>Pass/Fail</t>
  </si>
  <si>
    <t>Order ID missing</t>
  </si>
  <si>
    <t>Pass</t>
  </si>
  <si>
    <t>Duplicate order_id</t>
  </si>
  <si>
    <t>Delivered without delivery_date</t>
  </si>
  <si>
    <t>Return Yes without reason</t>
  </si>
  <si>
    <t>Return before delivery</t>
  </si>
  <si>
    <t>COUNTBLANK(Working_Data!A2:A347)</t>
  </si>
  <si>
    <t>COUNTIF(Working_Data!A:A, Working_Data!A2)-1</t>
  </si>
  <si>
    <t>COUNTIFS(
Working_Data!P:P,"Delivered",
Working_Data!O:O,""
)</t>
  </si>
  <si>
    <t>COUNTIFS(
Working_Data!Q:Q,"Yes",
Working_Data!R:R,""
)</t>
  </si>
  <si>
    <t>COUNTIFS(
Working_Data!S:S,"&lt;"&amp;Working_Data!O:O
)</t>
  </si>
  <si>
    <t>Order Date, Del Date, Ret Rec</t>
  </si>
  <si>
    <t>Order ID, Order Date, Customer ID, Unit Price, Qty, Total</t>
  </si>
  <si>
    <t>Incorrect date order breaks delivery time calculations, return window validation, and leads to inaccurate operational KPIs.</t>
  </si>
  <si>
    <t>Return</t>
  </si>
  <si>
    <t>Net_Revenue</t>
  </si>
  <si>
    <t>AOV</t>
  </si>
  <si>
    <t>Return_Rate</t>
  </si>
  <si>
    <t>Month</t>
  </si>
  <si>
    <t>Orders</t>
  </si>
  <si>
    <t>Oct</t>
  </si>
  <si>
    <t>Nov</t>
  </si>
  <si>
    <t>Dec</t>
  </si>
  <si>
    <t>Week_Start</t>
  </si>
  <si>
    <t>Week Start</t>
  </si>
  <si>
    <t>Return Rate</t>
  </si>
  <si>
    <t>Avg Discount%</t>
  </si>
  <si>
    <t>Delivered_Orders</t>
  </si>
  <si>
    <t>Returned Orders</t>
  </si>
  <si>
    <t>Date logic checks performed (1 violations found)</t>
  </si>
  <si>
    <t>No cases where Del Date occurs before Order Date or Ret Rec occurs before Del Date. B4 is 10/1 while others are 1/10</t>
  </si>
  <si>
    <t>Key_Insights</t>
  </si>
  <si>
    <t>Weekly orders peak during the Diwali week (28-10-2024), coinciding with the highest discount levels.</t>
  </si>
  <si>
    <t>Key insights</t>
  </si>
  <si>
    <t>Business conclusions</t>
  </si>
  <si>
    <t>Festive discounts effectively drive short-term demand but increase return-related operational costs.</t>
  </si>
  <si>
    <t>Promotional effects extend beyond the sale week due to the 30-day return window.</t>
  </si>
  <si>
    <t>Discount intensity should be optimized to balance GMV growth and net revenue quality.</t>
  </si>
  <si>
    <t>Business recommendations</t>
  </si>
  <si>
    <t>Introduce discount caps during peak festive periods to control return rates.</t>
  </si>
  <si>
    <t>Focus deeper promotions on lower-risk customers rather than blanket discounting.</t>
  </si>
  <si>
    <t>Improve size guidance and post-purchase communication during high-volume weeks to reduce preventable returns.</t>
  </si>
  <si>
    <t>Assumptions and limitations</t>
  </si>
  <si>
    <t>Analysis is based on aggregate weekly trends for Q4 2024.</t>
  </si>
  <si>
    <t>Segment-level analysis was deprioritized due to time constraints.</t>
  </si>
  <si>
    <t>Return rate is calculated using delivered orders only.</t>
  </si>
  <si>
    <t>Total Orders</t>
  </si>
  <si>
    <t>Delivered Orders</t>
  </si>
  <si>
    <t>GMV</t>
  </si>
  <si>
    <t>Net Revenue</t>
  </si>
  <si>
    <t>Average Order Value (AOV)</t>
  </si>
  <si>
    <t>Average Discount %</t>
  </si>
  <si>
    <t>Corrected mistaken spelling</t>
  </si>
  <si>
    <t>Delivered was miswritten as delievered</t>
  </si>
  <si>
    <t>Incorrect spelling leads to miscalculations.</t>
  </si>
  <si>
    <t>Action taken</t>
  </si>
  <si>
    <t>Delivery Days</t>
  </si>
  <si>
    <t>Discount Trap</t>
  </si>
  <si>
    <t>Discount Category</t>
  </si>
  <si>
    <t>Returns</t>
  </si>
  <si>
    <t>No Discount</t>
  </si>
  <si>
    <t>Low (1-20%)</t>
  </si>
  <si>
    <t>High (20%+)</t>
  </si>
  <si>
    <t>Deep discounting during Diwali was counter-productive. While order volume peaked at 33 units, the 73% return rate meant Net Sales actually dropped by ~50% compared to the previous week. We effectively paid to ship inventory back and forth.</t>
  </si>
  <si>
    <t>Count</t>
  </si>
  <si>
    <t>Total (Rs)</t>
  </si>
  <si>
    <t>Added columns weekstart,DeliverDays and DiscountTrap</t>
  </si>
  <si>
    <t>Feature Engineering</t>
  </si>
  <si>
    <t>Raw data was transactional only (row-level)</t>
  </si>
  <si>
    <t>We could not analyze weekly trends or identify the "Discount Trap" impact without aggregating metrics.</t>
  </si>
  <si>
    <t>Engineered calculated columns to group sales by week and flag high-risk discount orders.</t>
  </si>
  <si>
    <t>Top 5 SKUs</t>
  </si>
  <si>
    <t>Top 5 SKUs 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</si>
</sst>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2"/>
      <color rgb="FFE3E3E3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left" vertical="center" indent="1"/>
    </xf>
    <xf numFmtId="0" fontId="19" fillId="0" borderId="10" xfId="0" applyFont="1" applyBorder="1" applyAlignment="1">
      <alignment horizontal="left" vertical="center" wrapText="1" indent="1" readingOrder="1"/>
    </xf>
    <xf numFmtId="0" fontId="20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vs</a:t>
            </a:r>
            <a:r>
              <a:rPr lang="en-IN" baseline="0%"/>
              <a:t> Return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Trend_Analysis!$B$1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Trend_Analysis!$A$2:$A$16</c:f>
              <c:numCache>
                <c:formatCode>m/d/yyyy</c:formatCode>
                <c:ptCount val="15"/>
                <c:pt idx="0">
                  <c:v>45565</c:v>
                </c:pt>
                <c:pt idx="1">
                  <c:v>45572</c:v>
                </c:pt>
                <c:pt idx="2">
                  <c:v>45579</c:v>
                </c:pt>
                <c:pt idx="3">
                  <c:v>45586</c:v>
                </c:pt>
                <c:pt idx="4">
                  <c:v>45593</c:v>
                </c:pt>
                <c:pt idx="5">
                  <c:v>45600</c:v>
                </c:pt>
                <c:pt idx="6">
                  <c:v>45607</c:v>
                </c:pt>
                <c:pt idx="7">
                  <c:v>45614</c:v>
                </c:pt>
                <c:pt idx="8">
                  <c:v>45621</c:v>
                </c:pt>
                <c:pt idx="9">
                  <c:v>45628</c:v>
                </c:pt>
                <c:pt idx="10">
                  <c:v>45635</c:v>
                </c:pt>
                <c:pt idx="11">
                  <c:v>45642</c:v>
                </c:pt>
                <c:pt idx="12">
                  <c:v>45649</c:v>
                </c:pt>
                <c:pt idx="13">
                  <c:v>45656</c:v>
                </c:pt>
                <c:pt idx="14">
                  <c:v>45663</c:v>
                </c:pt>
              </c:numCache>
            </c:numRef>
          </c:cat>
          <c:val>
            <c:numRef>
              <c:f>Trend_Analysis!$B$2:$B$347</c:f>
              <c:numCache>
                <c:formatCode>General</c:formatCode>
                <c:ptCount val="346"/>
                <c:pt idx="0">
                  <c:v>27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33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22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5</c:v>
                </c:pt>
                <c:pt idx="14">
                  <c:v>0</c:v>
                </c:pt>
                <c:pt idx="19">
                  <c:v>0</c:v>
                </c:pt>
                <c:pt idx="20">
                  <c:v>206</c:v>
                </c:pt>
                <c:pt idx="21">
                  <c:v>100</c:v>
                </c:pt>
                <c:pt idx="2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34-4326-9A5A-507101ED19EB}"/>
            </c:ext>
          </c:extLst>
        </c:ser>
        <c:ser>
          <c:idx val="2"/>
          <c:order val="1"/>
          <c:tx>
            <c:strRef>
              <c:f>Trend_Analysis!$C$1</c:f>
              <c:strCache>
                <c:ptCount val="1"/>
                <c:pt idx="0">
                  <c:v>Return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Trend_Analysis!$A$2:$A$16</c:f>
              <c:numCache>
                <c:formatCode>m/d/yyyy</c:formatCode>
                <c:ptCount val="15"/>
                <c:pt idx="0">
                  <c:v>45565</c:v>
                </c:pt>
                <c:pt idx="1">
                  <c:v>45572</c:v>
                </c:pt>
                <c:pt idx="2">
                  <c:v>45579</c:v>
                </c:pt>
                <c:pt idx="3">
                  <c:v>45586</c:v>
                </c:pt>
                <c:pt idx="4">
                  <c:v>45593</c:v>
                </c:pt>
                <c:pt idx="5">
                  <c:v>45600</c:v>
                </c:pt>
                <c:pt idx="6">
                  <c:v>45607</c:v>
                </c:pt>
                <c:pt idx="7">
                  <c:v>45614</c:v>
                </c:pt>
                <c:pt idx="8">
                  <c:v>45621</c:v>
                </c:pt>
                <c:pt idx="9">
                  <c:v>45628</c:v>
                </c:pt>
                <c:pt idx="10">
                  <c:v>45635</c:v>
                </c:pt>
                <c:pt idx="11">
                  <c:v>45642</c:v>
                </c:pt>
                <c:pt idx="12">
                  <c:v>45649</c:v>
                </c:pt>
                <c:pt idx="13">
                  <c:v>45656</c:v>
                </c:pt>
                <c:pt idx="14">
                  <c:v>45663</c:v>
                </c:pt>
              </c:numCache>
            </c:numRef>
          </c:cat>
          <c:val>
            <c:numRef>
              <c:f>Trend_Analysis!$C$2:$C$347</c:f>
              <c:numCache>
                <c:formatCode>General</c:formatCode>
                <c:ptCount val="346"/>
                <c:pt idx="0">
                  <c:v>24</c:v>
                </c:pt>
                <c:pt idx="1">
                  <c:v>24</c:v>
                </c:pt>
                <c:pt idx="2">
                  <c:v>27</c:v>
                </c:pt>
                <c:pt idx="3">
                  <c:v>26</c:v>
                </c:pt>
                <c:pt idx="4">
                  <c:v>24</c:v>
                </c:pt>
                <c:pt idx="5">
                  <c:v>31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27</c:v>
                </c:pt>
                <c:pt idx="11">
                  <c:v>27</c:v>
                </c:pt>
                <c:pt idx="12">
                  <c:v>28</c:v>
                </c:pt>
                <c:pt idx="13">
                  <c:v>28</c:v>
                </c:pt>
                <c:pt idx="14">
                  <c:v>5</c:v>
                </c:pt>
                <c:pt idx="19">
                  <c:v>0</c:v>
                </c:pt>
                <c:pt idx="20">
                  <c:v>103</c:v>
                </c:pt>
                <c:pt idx="21">
                  <c:v>48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34-4326-9A5A-507101ED1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700351"/>
        <c:axId val="2084701311"/>
      </c:lineChart>
      <c:dateAx>
        <c:axId val="208470035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01311"/>
        <c:crosses val="autoZero"/>
        <c:auto val="1"/>
        <c:lblOffset val="100"/>
        <c:baseTimeUnit val="days"/>
      </c:dateAx>
      <c:valAx>
        <c:axId val="20847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0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Descriptive_Analysis!$G$9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Descriptive_Analysis!$E$10:$F$14</c:f>
              <c:multiLvlStrCache>
                <c:ptCount val="5"/>
                <c:lvl>
                  <c:pt idx="0">
                    <c:v>Size Issue</c:v>
                  </c:pt>
                  <c:pt idx="1">
                    <c:v>Quality Defect</c:v>
                  </c:pt>
                  <c:pt idx="2">
                    <c:v>Changed Mind</c:v>
                  </c:pt>
                  <c:pt idx="3">
                    <c:v>Wrong Item</c:v>
                  </c:pt>
                  <c:pt idx="4">
                    <c:v>Damaged in Transit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Descriptive_Analysis!$G$10:$G$14</c:f>
              <c:numCache>
                <c:formatCode>General</c:formatCode>
                <c:ptCount val="5"/>
                <c:pt idx="0">
                  <c:v>67</c:v>
                </c:pt>
                <c:pt idx="1">
                  <c:v>32</c:v>
                </c:pt>
                <c:pt idx="2">
                  <c:v>29</c:v>
                </c:pt>
                <c:pt idx="3">
                  <c:v>28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6-4C45-97B4-29F37AF2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558784"/>
        <c:axId val="1460563584"/>
      </c:barChart>
      <c:catAx>
        <c:axId val="146055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63584"/>
        <c:crosses val="autoZero"/>
        <c:auto val="1"/>
        <c:lblAlgn val="ctr"/>
        <c:lblOffset val="100"/>
        <c:noMultiLvlLbl val="0"/>
      </c:catAx>
      <c:valAx>
        <c:axId val="14605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5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Descriptive_Analysis!$F$18</c:f>
              <c:strCache>
                <c:ptCount val="1"/>
                <c:pt idx="0">
                  <c:v>Top 5 SKUs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Descriptive_Analysis!$E$19:$E$23</c:f>
              <c:strCache>
                <c:ptCount val="5"/>
                <c:pt idx="0">
                  <c:v>OUT-CPE-M</c:v>
                </c:pt>
                <c:pt idx="1">
                  <c:v>OUT-VLV-L</c:v>
                </c:pt>
                <c:pt idx="2">
                  <c:v>DRS-EVE-S</c:v>
                </c:pt>
                <c:pt idx="3">
                  <c:v>DRS-LHG-M</c:v>
                </c:pt>
                <c:pt idx="4">
                  <c:v>OUT-FUR-L</c:v>
                </c:pt>
              </c:strCache>
            </c:strRef>
          </c:cat>
          <c:val>
            <c:numRef>
              <c:f>Descriptive_Analysis!$F$19:$F$23</c:f>
              <c:numCache>
                <c:formatCode>General</c:formatCode>
                <c:ptCount val="5"/>
                <c:pt idx="0">
                  <c:v>10598</c:v>
                </c:pt>
                <c:pt idx="1">
                  <c:v>10498</c:v>
                </c:pt>
                <c:pt idx="2">
                  <c:v>10098</c:v>
                </c:pt>
                <c:pt idx="3">
                  <c:v>8999</c:v>
                </c:pt>
                <c:pt idx="4">
                  <c:v>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3-46D0-9CEA-2AF98DFD8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chart" Target="../charts/chart3.xml"/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361950</xdr:colOff>
      <xdr:row>20</xdr:row>
      <xdr:rowOff>42862</xdr:rowOff>
    </xdr:from>
    <xdr:to>
      <xdr:col>9</xdr:col>
      <xdr:colOff>352425</xdr:colOff>
      <xdr:row>29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CAB11-9E78-A8BE-07D7-C5C159780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7</xdr:col>
      <xdr:colOff>85725</xdr:colOff>
      <xdr:row>3</xdr:row>
      <xdr:rowOff>66674</xdr:rowOff>
    </xdr:from>
    <xdr:to>
      <xdr:col>12</xdr:col>
      <xdr:colOff>585787</xdr:colOff>
      <xdr:row>13</xdr:row>
      <xdr:rowOff>319086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2F28B-A8F1-EE0C-5EA5-C4B596E38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6</xdr:col>
      <xdr:colOff>57150</xdr:colOff>
      <xdr:row>14</xdr:row>
      <xdr:rowOff>123825</xdr:rowOff>
    </xdr:from>
    <xdr:to>
      <xdr:col>12</xdr:col>
      <xdr:colOff>371475</xdr:colOff>
      <xdr:row>28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A376B8-3429-B1C6-B618-1A2A0B5D5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EE6C38F1-904E-45A1-92FD-51FDE3DDFB63}" name="Table57" displayName="Table57" ref="E4:F7" totalsRowShown="0">
  <autoFilter ref="E4:F7" xr:uid="{EE6C38F1-904E-45A1-92FD-51FDE3DDFB63}"/>
  <tableColumns count="2">
    <tableColumn id="1" xr3:uid="{8B49CB7A-73CD-4F10-8787-26B4EE41CC0B}" name="Month"/>
    <tableColumn id="2" xr3:uid="{0FC9B514-4731-41A2-9E04-971A7AA9C9FB}" name="Orders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928613BE-C7E8-4540-9652-674F5EA0539B}" name="Table1" displayName="Table1" ref="E18:F23" totalsRowShown="0">
  <autoFilter ref="E18:F23" xr:uid="{928613BE-C7E8-4540-9652-674F5EA0539B}"/>
  <tableColumns count="2">
    <tableColumn id="2" xr3:uid="{CDFBE946-2982-4BF7-8579-75C80DD136CC}" name="Top 5 SKUs" dataDxfId="0">
      <calculatedColumnFormula array="1">INDEX($N$2:$N$337, SMALL(IF($O$2:$O$337=F19, ROW($O$2:$O$337)-ROW($O$2)+1), COUNTIF($F$19:F19, F19)))</calculatedColumnFormula>
    </tableColumn>
    <tableColumn id="1" xr3:uid="{9CD8CE00-AF3A-437C-8ECF-C216D1571FFB}" name="Top 5 SKUs Total">
      <calculatedColumnFormula>LARGE($O$2:$O$337,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table" Target="../tables/table2.xml"/><Relationship Id="rId2" Type="http://purl.oclc.org/ooxml/officeDocument/relationships/table" Target="../tables/table1.x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DBE2-D55A-43F0-AD0A-BBB06DC1AD31}">
  <dimension ref="A1:W347"/>
  <sheetViews>
    <sheetView topLeftCell="G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 t="d">
        <v>2024-10-01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1299</v>
      </c>
      <c r="I2">
        <v>2</v>
      </c>
      <c r="J2">
        <v>2598</v>
      </c>
      <c r="L2">
        <v>0</v>
      </c>
      <c r="M2" t="s">
        <v>29</v>
      </c>
      <c r="N2" t="s">
        <v>30</v>
      </c>
      <c r="O2" t="s">
        <v>31</v>
      </c>
      <c r="P2" t="s">
        <v>32</v>
      </c>
      <c r="Q2" t="s">
        <v>31</v>
      </c>
      <c r="R2" s="1" t="d">
        <v>2024-10-05</v>
      </c>
      <c r="S2" t="s">
        <v>33</v>
      </c>
      <c r="T2" t="s">
        <v>34</v>
      </c>
      <c r="W2" t="s">
        <v>35</v>
      </c>
    </row>
    <row r="3" spans="1:23">
      <c r="A3" t="s">
        <v>36</v>
      </c>
      <c r="B3" s="1" t="d">
        <v>2024-10-01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>
        <v>2499</v>
      </c>
      <c r="I3">
        <v>1</v>
      </c>
      <c r="J3">
        <v>2499</v>
      </c>
      <c r="K3" t="s">
        <v>42</v>
      </c>
      <c r="L3">
        <v>20</v>
      </c>
      <c r="M3" t="s">
        <v>43</v>
      </c>
      <c r="N3" t="s">
        <v>44</v>
      </c>
      <c r="O3" t="s">
        <v>45</v>
      </c>
      <c r="P3" t="s">
        <v>45</v>
      </c>
      <c r="Q3" t="s">
        <v>45</v>
      </c>
      <c r="R3" s="1" t="d">
        <v>2024-10-04</v>
      </c>
      <c r="S3" t="s">
        <v>33</v>
      </c>
      <c r="T3" t="s">
        <v>46</v>
      </c>
      <c r="U3" t="s">
        <v>47</v>
      </c>
      <c r="V3" s="1" t="d">
        <v>2024-10-15</v>
      </c>
      <c r="W3" t="s">
        <v>48</v>
      </c>
    </row>
    <row r="4" spans="1:23">
      <c r="A4" t="s">
        <v>49</v>
      </c>
      <c r="B4" s="1" t="d">
        <v>2024-01-10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1899</v>
      </c>
      <c r="I4">
        <v>1</v>
      </c>
      <c r="J4">
        <v>1899</v>
      </c>
      <c r="L4">
        <v>0</v>
      </c>
      <c r="M4" t="s">
        <v>55</v>
      </c>
      <c r="N4" t="s">
        <v>30</v>
      </c>
      <c r="O4" t="s">
        <v>56</v>
      </c>
      <c r="P4" t="s">
        <v>57</v>
      </c>
      <c r="Q4" t="s">
        <v>56</v>
      </c>
      <c r="R4" s="1" t="d">
        <v>2024-10-06</v>
      </c>
      <c r="S4" t="s">
        <v>33</v>
      </c>
      <c r="T4" t="s">
        <v>34</v>
      </c>
      <c r="W4" t="s">
        <v>35</v>
      </c>
    </row>
    <row r="5" spans="1:23">
      <c r="A5" t="s">
        <v>58</v>
      </c>
      <c r="B5" s="1" t="d">
        <v>2024-10-01</v>
      </c>
      <c r="C5" t="s">
        <v>59</v>
      </c>
      <c r="D5" t="s">
        <v>25</v>
      </c>
      <c r="E5" t="s">
        <v>60</v>
      </c>
      <c r="F5" t="s">
        <v>61</v>
      </c>
      <c r="G5" t="s">
        <v>62</v>
      </c>
      <c r="H5">
        <v>3499</v>
      </c>
      <c r="I5">
        <v>1</v>
      </c>
      <c r="J5">
        <v>3499</v>
      </c>
      <c r="K5" t="s">
        <v>63</v>
      </c>
      <c r="L5">
        <v>15</v>
      </c>
      <c r="M5" t="s">
        <v>64</v>
      </c>
      <c r="N5" t="s">
        <v>65</v>
      </c>
      <c r="O5" t="s">
        <v>66</v>
      </c>
      <c r="P5" t="s">
        <v>67</v>
      </c>
      <c r="Q5" t="s">
        <v>31</v>
      </c>
      <c r="R5" s="1" t="d">
        <v>2024-10-08</v>
      </c>
      <c r="S5" t="s">
        <v>33</v>
      </c>
      <c r="T5" t="s">
        <v>46</v>
      </c>
      <c r="U5" t="s">
        <v>68</v>
      </c>
      <c r="V5" s="1" t="d">
        <v>2024-10-20</v>
      </c>
      <c r="W5" t="s">
        <v>48</v>
      </c>
    </row>
    <row r="6" spans="1:23">
      <c r="A6" t="s">
        <v>69</v>
      </c>
      <c r="B6" s="1" t="d">
        <v>2024-10-01</v>
      </c>
      <c r="C6" t="s">
        <v>24</v>
      </c>
      <c r="D6" t="s">
        <v>25</v>
      </c>
      <c r="E6" t="s">
        <v>70</v>
      </c>
      <c r="F6" t="s">
        <v>71</v>
      </c>
      <c r="G6" t="s">
        <v>72</v>
      </c>
      <c r="H6">
        <v>799</v>
      </c>
      <c r="I6">
        <v>3</v>
      </c>
      <c r="J6">
        <v>2397</v>
      </c>
      <c r="L6">
        <v>0</v>
      </c>
      <c r="M6" t="s">
        <v>29</v>
      </c>
      <c r="N6" t="s">
        <v>30</v>
      </c>
      <c r="O6" t="s">
        <v>31</v>
      </c>
      <c r="P6" t="s">
        <v>32</v>
      </c>
      <c r="Q6" t="s">
        <v>31</v>
      </c>
      <c r="R6" s="1" t="d">
        <v>2024-10-06</v>
      </c>
      <c r="S6" t="s">
        <v>33</v>
      </c>
      <c r="T6" t="s">
        <v>34</v>
      </c>
      <c r="W6" t="s">
        <v>35</v>
      </c>
    </row>
    <row r="7" spans="1:23">
      <c r="A7" t="s">
        <v>73</v>
      </c>
      <c r="B7" s="1" t="d">
        <v>2024-10-02</v>
      </c>
      <c r="C7" t="s">
        <v>74</v>
      </c>
      <c r="D7" t="s">
        <v>38</v>
      </c>
      <c r="E7" t="s">
        <v>75</v>
      </c>
      <c r="F7" t="s">
        <v>27</v>
      </c>
      <c r="G7" t="s">
        <v>76</v>
      </c>
      <c r="H7">
        <v>1599</v>
      </c>
      <c r="I7">
        <v>2</v>
      </c>
      <c r="J7">
        <v>3198</v>
      </c>
      <c r="L7">
        <v>0</v>
      </c>
      <c r="M7" t="s">
        <v>43</v>
      </c>
      <c r="N7" t="s">
        <v>44</v>
      </c>
      <c r="O7" t="s">
        <v>77</v>
      </c>
      <c r="P7" t="s">
        <v>78</v>
      </c>
      <c r="Q7" t="s">
        <v>56</v>
      </c>
      <c r="R7" s="1" t="d">
        <v>2024-10-07</v>
      </c>
      <c r="S7" t="s">
        <v>33</v>
      </c>
      <c r="T7" t="s">
        <v>46</v>
      </c>
      <c r="U7" t="s">
        <v>79</v>
      </c>
      <c r="V7" s="1" t="d">
        <v>2024-10-18</v>
      </c>
      <c r="W7" t="s">
        <v>48</v>
      </c>
    </row>
    <row r="8" spans="1:23">
      <c r="A8" t="s">
        <v>80</v>
      </c>
      <c r="B8" s="1" t="d">
        <v>2024-10-02</v>
      </c>
      <c r="C8" t="s">
        <v>81</v>
      </c>
      <c r="D8" t="s">
        <v>25</v>
      </c>
      <c r="E8" t="s">
        <v>82</v>
      </c>
      <c r="F8" t="s">
        <v>40</v>
      </c>
      <c r="G8" t="s">
        <v>83</v>
      </c>
      <c r="H8">
        <v>2199</v>
      </c>
      <c r="I8">
        <v>1</v>
      </c>
      <c r="J8">
        <v>2199</v>
      </c>
      <c r="K8" t="s">
        <v>42</v>
      </c>
      <c r="L8">
        <v>20</v>
      </c>
      <c r="M8" t="s">
        <v>55</v>
      </c>
      <c r="N8" t="s">
        <v>30</v>
      </c>
      <c r="O8" t="s">
        <v>84</v>
      </c>
      <c r="P8" t="s">
        <v>32</v>
      </c>
      <c r="Q8" t="s">
        <v>31</v>
      </c>
      <c r="S8" t="s">
        <v>85</v>
      </c>
      <c r="T8" t="s">
        <v>34</v>
      </c>
      <c r="W8" t="s">
        <v>35</v>
      </c>
    </row>
    <row r="9" spans="1:23">
      <c r="A9" t="s">
        <v>86</v>
      </c>
      <c r="B9" s="1" t="d">
        <v>2024-10-02</v>
      </c>
      <c r="C9" t="s">
        <v>87</v>
      </c>
      <c r="D9" t="s">
        <v>25</v>
      </c>
      <c r="E9" t="s">
        <v>88</v>
      </c>
      <c r="F9" t="s">
        <v>53</v>
      </c>
      <c r="G9" t="s">
        <v>89</v>
      </c>
      <c r="H9">
        <v>2299</v>
      </c>
      <c r="I9">
        <v>1</v>
      </c>
      <c r="J9">
        <v>2299</v>
      </c>
      <c r="L9">
        <v>0</v>
      </c>
      <c r="M9" t="s">
        <v>29</v>
      </c>
      <c r="N9" t="s">
        <v>44</v>
      </c>
      <c r="O9" t="s">
        <v>90</v>
      </c>
      <c r="P9" t="s">
        <v>91</v>
      </c>
      <c r="Q9" t="s">
        <v>45</v>
      </c>
      <c r="R9" s="1" t="d">
        <v>2024-10-10</v>
      </c>
      <c r="S9" t="s">
        <v>33</v>
      </c>
      <c r="T9" t="s">
        <v>34</v>
      </c>
      <c r="W9" t="s">
        <v>35</v>
      </c>
    </row>
    <row r="10" spans="1:23">
      <c r="A10" t="s">
        <v>92</v>
      </c>
      <c r="B10" s="1" t="d">
        <v>2024-10-02</v>
      </c>
      <c r="C10" t="s">
        <v>93</v>
      </c>
      <c r="D10" t="s">
        <v>38</v>
      </c>
      <c r="E10" t="s">
        <v>94</v>
      </c>
      <c r="F10" t="s">
        <v>27</v>
      </c>
      <c r="G10" t="s">
        <v>95</v>
      </c>
      <c r="H10">
        <v>1399</v>
      </c>
      <c r="I10">
        <v>5</v>
      </c>
      <c r="J10">
        <v>6995</v>
      </c>
      <c r="L10">
        <v>0</v>
      </c>
      <c r="M10" t="s">
        <v>43</v>
      </c>
      <c r="N10" t="s">
        <v>30</v>
      </c>
      <c r="O10" t="s">
        <v>96</v>
      </c>
      <c r="P10" t="s">
        <v>97</v>
      </c>
      <c r="Q10" t="s">
        <v>31</v>
      </c>
      <c r="R10" s="1" t="d">
        <v>2024-10-09</v>
      </c>
      <c r="S10" t="s">
        <v>33</v>
      </c>
      <c r="T10" t="s">
        <v>46</v>
      </c>
      <c r="U10" t="s">
        <v>47</v>
      </c>
      <c r="V10" s="1" t="d">
        <v>2024-10-22</v>
      </c>
      <c r="W10" t="s">
        <v>48</v>
      </c>
    </row>
    <row r="11" spans="1:23">
      <c r="A11" t="s">
        <v>98</v>
      </c>
      <c r="B11" s="1" t="d">
        <v>2024-10-02</v>
      </c>
      <c r="C11" t="s">
        <v>99</v>
      </c>
      <c r="D11" t="s">
        <v>25</v>
      </c>
      <c r="E11" t="s">
        <v>100</v>
      </c>
      <c r="F11" t="s">
        <v>61</v>
      </c>
      <c r="G11" t="s">
        <v>101</v>
      </c>
      <c r="H11">
        <v>4999</v>
      </c>
      <c r="I11">
        <v>-1</v>
      </c>
      <c r="J11">
        <v>4999</v>
      </c>
      <c r="L11">
        <v>0</v>
      </c>
      <c r="M11" t="s">
        <v>64</v>
      </c>
      <c r="N11" t="s">
        <v>65</v>
      </c>
      <c r="O11" t="s">
        <v>102</v>
      </c>
      <c r="P11" t="s">
        <v>103</v>
      </c>
      <c r="Q11" t="s">
        <v>45</v>
      </c>
      <c r="R11" s="1" t="d">
        <v>2024-10-11</v>
      </c>
      <c r="S11" t="s">
        <v>33</v>
      </c>
      <c r="T11" t="s">
        <v>46</v>
      </c>
      <c r="U11" t="s">
        <v>104</v>
      </c>
      <c r="V11" s="1" t="d">
        <v>2024-10-25</v>
      </c>
      <c r="W11" t="s">
        <v>105</v>
      </c>
    </row>
    <row r="12" spans="1:23">
      <c r="A12" t="s">
        <v>106</v>
      </c>
      <c r="B12" s="1" t="d">
        <v>2024-10-03</v>
      </c>
      <c r="C12" t="s">
        <v>107</v>
      </c>
      <c r="D12" t="s">
        <v>25</v>
      </c>
      <c r="E12" t="s">
        <v>108</v>
      </c>
      <c r="F12" t="s">
        <v>71</v>
      </c>
      <c r="G12" t="s">
        <v>109</v>
      </c>
      <c r="H12">
        <v>1299</v>
      </c>
      <c r="I12">
        <v>2</v>
      </c>
      <c r="J12">
        <v>2598</v>
      </c>
      <c r="K12" t="s">
        <v>110</v>
      </c>
      <c r="L12">
        <v>10</v>
      </c>
      <c r="M12" t="s">
        <v>111</v>
      </c>
      <c r="N12" t="s">
        <v>30</v>
      </c>
      <c r="O12" t="s">
        <v>112</v>
      </c>
      <c r="P12" t="s">
        <v>113</v>
      </c>
      <c r="Q12" t="s">
        <v>45</v>
      </c>
      <c r="R12" s="1" t="d">
        <v>2024-10-10</v>
      </c>
      <c r="S12" t="s">
        <v>33</v>
      </c>
      <c r="T12" t="s">
        <v>34</v>
      </c>
      <c r="W12" t="s">
        <v>35</v>
      </c>
    </row>
    <row r="13" spans="1:23">
      <c r="A13" t="s">
        <v>114</v>
      </c>
      <c r="B13" s="1" t="d">
        <v>2024-10-03</v>
      </c>
      <c r="C13" t="s">
        <v>115</v>
      </c>
      <c r="D13" t="s">
        <v>25</v>
      </c>
      <c r="E13" t="s">
        <v>116</v>
      </c>
      <c r="F13" t="s">
        <v>40</v>
      </c>
      <c r="G13" t="s">
        <v>117</v>
      </c>
      <c r="H13">
        <v>3299</v>
      </c>
      <c r="I13">
        <v>1</v>
      </c>
      <c r="J13">
        <v>3299</v>
      </c>
      <c r="L13">
        <v>0</v>
      </c>
      <c r="M13" t="s">
        <v>55</v>
      </c>
      <c r="N13" t="s">
        <v>44</v>
      </c>
      <c r="O13" t="s">
        <v>118</v>
      </c>
      <c r="P13" t="s">
        <v>119</v>
      </c>
      <c r="Q13" t="s">
        <v>45</v>
      </c>
      <c r="S13" t="s">
        <v>120</v>
      </c>
      <c r="T13" t="s">
        <v>34</v>
      </c>
      <c r="W13" t="s">
        <v>35</v>
      </c>
    </row>
    <row r="14" spans="1:23">
      <c r="A14" t="s">
        <v>121</v>
      </c>
      <c r="B14" s="1" t="d">
        <v>2024-10-03</v>
      </c>
      <c r="C14" t="s">
        <v>122</v>
      </c>
      <c r="D14" t="s">
        <v>38</v>
      </c>
      <c r="E14" t="s">
        <v>123</v>
      </c>
      <c r="F14" t="s">
        <v>27</v>
      </c>
      <c r="G14" t="s">
        <v>124</v>
      </c>
      <c r="H14">
        <v>2499</v>
      </c>
      <c r="I14">
        <v>1</v>
      </c>
      <c r="J14">
        <v>2499</v>
      </c>
      <c r="L14">
        <v>0</v>
      </c>
      <c r="M14" t="s">
        <v>43</v>
      </c>
      <c r="N14" t="s">
        <v>30</v>
      </c>
      <c r="O14" t="s">
        <v>31</v>
      </c>
      <c r="P14" t="s">
        <v>32</v>
      </c>
      <c r="Q14" t="s">
        <v>31</v>
      </c>
      <c r="R14" s="1" t="d">
        <v>2024-10-09</v>
      </c>
      <c r="S14" t="s">
        <v>33</v>
      </c>
      <c r="T14" t="s">
        <v>34</v>
      </c>
      <c r="W14" t="s">
        <v>35</v>
      </c>
    </row>
    <row r="15" spans="1:23">
      <c r="A15" t="s">
        <v>125</v>
      </c>
      <c r="B15" s="1" t="d">
        <v>2024-10-03</v>
      </c>
      <c r="C15" t="s">
        <v>126</v>
      </c>
      <c r="D15" t="s">
        <v>25</v>
      </c>
      <c r="E15" t="s">
        <v>127</v>
      </c>
      <c r="F15" t="s">
        <v>53</v>
      </c>
      <c r="G15" t="s">
        <v>128</v>
      </c>
      <c r="H15">
        <v>1799</v>
      </c>
      <c r="I15">
        <v>2</v>
      </c>
      <c r="J15">
        <v>3598</v>
      </c>
      <c r="K15" t="s">
        <v>42</v>
      </c>
      <c r="L15">
        <v>20</v>
      </c>
      <c r="M15" t="s">
        <v>29</v>
      </c>
      <c r="N15" t="s">
        <v>65</v>
      </c>
      <c r="O15" t="s">
        <v>45</v>
      </c>
      <c r="P15" t="s">
        <v>45</v>
      </c>
      <c r="Q15" t="s">
        <v>45</v>
      </c>
      <c r="R15" s="1" t="d">
        <v>2024-10-11</v>
      </c>
      <c r="S15" t="s">
        <v>33</v>
      </c>
      <c r="T15" t="s">
        <v>46</v>
      </c>
      <c r="U15" t="s">
        <v>47</v>
      </c>
      <c r="V15" s="1" t="d">
        <v>2024-10-28</v>
      </c>
      <c r="W15" t="s">
        <v>48</v>
      </c>
    </row>
    <row r="16" spans="1:23">
      <c r="A16" t="s">
        <v>129</v>
      </c>
      <c r="B16" s="1" t="d">
        <v>2024-10-03</v>
      </c>
      <c r="C16" t="s">
        <v>130</v>
      </c>
      <c r="D16" t="s">
        <v>25</v>
      </c>
      <c r="E16" t="s">
        <v>131</v>
      </c>
      <c r="F16" t="s">
        <v>61</v>
      </c>
      <c r="G16" t="s">
        <v>132</v>
      </c>
      <c r="H16">
        <v>2799</v>
      </c>
      <c r="I16">
        <v>1</v>
      </c>
      <c r="J16">
        <v>2799</v>
      </c>
      <c r="L16">
        <v>0</v>
      </c>
      <c r="M16" t="s">
        <v>64</v>
      </c>
      <c r="N16" t="s">
        <v>44</v>
      </c>
      <c r="O16" t="s">
        <v>56</v>
      </c>
      <c r="P16" t="s">
        <v>57</v>
      </c>
      <c r="Q16" t="s">
        <v>56</v>
      </c>
      <c r="R16" s="1" t="d">
        <v>2024-10-12</v>
      </c>
      <c r="S16" t="s">
        <v>33</v>
      </c>
      <c r="T16" t="s">
        <v>34</v>
      </c>
      <c r="W16" t="s">
        <v>35</v>
      </c>
    </row>
    <row r="17" spans="1:23">
      <c r="A17" t="s">
        <v>133</v>
      </c>
      <c r="B17" s="1" t="d">
        <v>2024-10-04</v>
      </c>
      <c r="C17" t="s">
        <v>134</v>
      </c>
      <c r="D17" t="s">
        <v>38</v>
      </c>
      <c r="E17" t="s">
        <v>135</v>
      </c>
      <c r="F17" t="s">
        <v>71</v>
      </c>
      <c r="G17" t="s">
        <v>136</v>
      </c>
      <c r="H17">
        <v>599</v>
      </c>
      <c r="I17">
        <v>4</v>
      </c>
      <c r="J17">
        <v>2396</v>
      </c>
      <c r="L17">
        <v>0</v>
      </c>
      <c r="M17" t="s">
        <v>55</v>
      </c>
      <c r="N17" t="s">
        <v>30</v>
      </c>
      <c r="O17" t="s">
        <v>137</v>
      </c>
      <c r="P17" t="s">
        <v>113</v>
      </c>
      <c r="Q17" t="s">
        <v>45</v>
      </c>
      <c r="R17" s="1" t="d">
        <v>2024-10-14</v>
      </c>
      <c r="S17" t="s">
        <v>33</v>
      </c>
      <c r="T17" t="s">
        <v>46</v>
      </c>
      <c r="U17" t="s">
        <v>138</v>
      </c>
      <c r="V17" s="1" t="d">
        <v>2024-10-26</v>
      </c>
      <c r="W17" t="s">
        <v>48</v>
      </c>
    </row>
    <row r="18" spans="1:23">
      <c r="A18" t="s">
        <v>139</v>
      </c>
      <c r="B18" s="1" t="d">
        <v>2024-10-04</v>
      </c>
      <c r="C18" t="s">
        <v>140</v>
      </c>
      <c r="D18" t="s">
        <v>25</v>
      </c>
      <c r="E18" t="s">
        <v>141</v>
      </c>
      <c r="F18" t="s">
        <v>27</v>
      </c>
      <c r="G18" t="s">
        <v>142</v>
      </c>
      <c r="H18">
        <v>999</v>
      </c>
      <c r="I18">
        <v>1</v>
      </c>
      <c r="J18">
        <v>999</v>
      </c>
      <c r="K18" t="s">
        <v>63</v>
      </c>
      <c r="L18">
        <v>15</v>
      </c>
      <c r="M18" t="s">
        <v>29</v>
      </c>
      <c r="N18" t="s">
        <v>44</v>
      </c>
      <c r="O18" t="s">
        <v>143</v>
      </c>
      <c r="P18" t="s">
        <v>144</v>
      </c>
      <c r="Q18" t="s">
        <v>45</v>
      </c>
      <c r="R18" s="1" t="d">
        <v>2024-10-12</v>
      </c>
      <c r="S18" t="s">
        <v>145</v>
      </c>
      <c r="T18" t="s">
        <v>34</v>
      </c>
      <c r="W18" t="s">
        <v>35</v>
      </c>
    </row>
    <row r="19" spans="1:23">
      <c r="A19" t="s">
        <v>146</v>
      </c>
      <c r="B19" s="1" t="d">
        <v>2024-10-04</v>
      </c>
      <c r="C19" t="s">
        <v>147</v>
      </c>
      <c r="D19" t="s">
        <v>25</v>
      </c>
      <c r="E19" t="s">
        <v>148</v>
      </c>
      <c r="F19" t="s">
        <v>40</v>
      </c>
      <c r="G19" t="s">
        <v>149</v>
      </c>
      <c r="H19">
        <v>2899</v>
      </c>
      <c r="I19">
        <v>1</v>
      </c>
      <c r="J19">
        <v>2899</v>
      </c>
      <c r="L19">
        <v>0</v>
      </c>
      <c r="M19" t="s">
        <v>43</v>
      </c>
      <c r="N19" t="s">
        <v>30</v>
      </c>
      <c r="O19" t="s">
        <v>150</v>
      </c>
      <c r="P19" t="s">
        <v>151</v>
      </c>
      <c r="Q19" t="s">
        <v>31</v>
      </c>
      <c r="R19" s="1" t="d">
        <v>2024-10-14</v>
      </c>
      <c r="S19" t="s">
        <v>33</v>
      </c>
      <c r="T19" t="s">
        <v>34</v>
      </c>
      <c r="W19" t="s">
        <v>35</v>
      </c>
    </row>
    <row r="20" spans="1:23">
      <c r="A20" t="s">
        <v>152</v>
      </c>
      <c r="B20" s="1" t="d">
        <v>2024-10-04</v>
      </c>
      <c r="C20" t="s">
        <v>153</v>
      </c>
      <c r="D20" t="s">
        <v>38</v>
      </c>
      <c r="E20" t="s">
        <v>154</v>
      </c>
      <c r="F20" t="s">
        <v>53</v>
      </c>
      <c r="G20" t="s">
        <v>155</v>
      </c>
      <c r="H20">
        <v>1499</v>
      </c>
      <c r="I20">
        <v>2</v>
      </c>
      <c r="J20">
        <v>2998</v>
      </c>
      <c r="L20">
        <v>0</v>
      </c>
      <c r="M20" t="s">
        <v>111</v>
      </c>
      <c r="N20" t="s">
        <v>65</v>
      </c>
      <c r="O20" t="s">
        <v>156</v>
      </c>
      <c r="P20" t="s">
        <v>97</v>
      </c>
      <c r="Q20" t="s">
        <v>31</v>
      </c>
      <c r="R20" s="1" t="d">
        <v>2024-10-13</v>
      </c>
      <c r="S20" t="s">
        <v>33</v>
      </c>
      <c r="T20" t="s">
        <v>46</v>
      </c>
      <c r="U20" t="s">
        <v>47</v>
      </c>
      <c r="V20" s="1" t="d">
        <v>2024-10-30</v>
      </c>
      <c r="W20" t="s">
        <v>48</v>
      </c>
    </row>
    <row r="21" spans="1:23">
      <c r="A21" t="s">
        <v>157</v>
      </c>
      <c r="B21" s="1" t="d">
        <v>2024-10-05</v>
      </c>
      <c r="C21" t="s">
        <v>158</v>
      </c>
      <c r="D21" t="s">
        <v>25</v>
      </c>
      <c r="E21" t="s">
        <v>159</v>
      </c>
      <c r="F21" t="s">
        <v>61</v>
      </c>
      <c r="G21" t="s">
        <v>160</v>
      </c>
      <c r="H21">
        <v>3999</v>
      </c>
      <c r="I21">
        <v>1</v>
      </c>
      <c r="J21">
        <v>3999</v>
      </c>
      <c r="K21" t="s">
        <v>42</v>
      </c>
      <c r="L21">
        <v>20</v>
      </c>
      <c r="M21" t="s">
        <v>55</v>
      </c>
      <c r="N21" t="s">
        <v>30</v>
      </c>
      <c r="O21" t="s">
        <v>161</v>
      </c>
      <c r="P21" t="s">
        <v>162</v>
      </c>
      <c r="Q21" t="s">
        <v>45</v>
      </c>
      <c r="S21" t="s">
        <v>120</v>
      </c>
      <c r="T21" t="s">
        <v>34</v>
      </c>
      <c r="W21" t="s">
        <v>35</v>
      </c>
    </row>
    <row r="22" spans="1:23">
      <c r="A22" t="s">
        <v>163</v>
      </c>
      <c r="B22" s="1" t="d">
        <v>2024-10-05</v>
      </c>
      <c r="C22" t="s">
        <v>164</v>
      </c>
      <c r="D22" t="s">
        <v>25</v>
      </c>
      <c r="E22" t="s">
        <v>165</v>
      </c>
      <c r="F22" t="s">
        <v>27</v>
      </c>
      <c r="G22" t="s">
        <v>166</v>
      </c>
      <c r="H22">
        <v>1699</v>
      </c>
      <c r="I22">
        <v>1</v>
      </c>
      <c r="J22">
        <v>1699</v>
      </c>
      <c r="L22">
        <v>0</v>
      </c>
      <c r="M22" t="s">
        <v>29</v>
      </c>
      <c r="N22" t="s">
        <v>44</v>
      </c>
      <c r="O22" t="s">
        <v>167</v>
      </c>
      <c r="P22" t="s">
        <v>151</v>
      </c>
      <c r="Q22" t="s">
        <v>31</v>
      </c>
      <c r="R22" s="1" t="d">
        <v>2024-10-15</v>
      </c>
      <c r="S22" t="s">
        <v>33</v>
      </c>
      <c r="T22" t="s">
        <v>34</v>
      </c>
      <c r="W22" t="s">
        <v>35</v>
      </c>
    </row>
    <row r="23" spans="1:23">
      <c r="A23" t="s">
        <v>168</v>
      </c>
      <c r="B23" s="1" t="d">
        <v>2024-10-05</v>
      </c>
      <c r="C23" t="s">
        <v>169</v>
      </c>
      <c r="D23" t="s">
        <v>38</v>
      </c>
      <c r="E23" t="s">
        <v>170</v>
      </c>
      <c r="F23" t="s">
        <v>40</v>
      </c>
      <c r="G23" t="s">
        <v>171</v>
      </c>
      <c r="H23">
        <v>2399</v>
      </c>
      <c r="I23">
        <v>1</v>
      </c>
      <c r="J23">
        <v>2399</v>
      </c>
      <c r="L23">
        <v>0</v>
      </c>
      <c r="M23" t="s">
        <v>43</v>
      </c>
      <c r="N23" t="s">
        <v>30</v>
      </c>
      <c r="O23" t="s">
        <v>172</v>
      </c>
      <c r="P23" t="s">
        <v>32</v>
      </c>
      <c r="Q23" t="s">
        <v>31</v>
      </c>
      <c r="R23" s="1" t="d">
        <v>2024-10-16</v>
      </c>
      <c r="S23" t="s">
        <v>33</v>
      </c>
      <c r="T23" t="s">
        <v>46</v>
      </c>
      <c r="U23" t="s">
        <v>68</v>
      </c>
      <c r="V23" s="1" t="d">
        <v>2024-11-02</v>
      </c>
      <c r="W23" t="s">
        <v>48</v>
      </c>
    </row>
    <row r="24" spans="1:23">
      <c r="A24" t="s">
        <v>173</v>
      </c>
      <c r="B24" s="1" t="d">
        <v>2024-10-05</v>
      </c>
      <c r="C24" t="s">
        <v>174</v>
      </c>
      <c r="D24" t="s">
        <v>25</v>
      </c>
      <c r="E24" t="s">
        <v>175</v>
      </c>
      <c r="F24" t="s">
        <v>71</v>
      </c>
      <c r="G24" t="s">
        <v>176</v>
      </c>
      <c r="H24">
        <v>899</v>
      </c>
      <c r="I24">
        <v>1</v>
      </c>
      <c r="J24">
        <v>899</v>
      </c>
      <c r="K24" t="s">
        <v>110</v>
      </c>
      <c r="L24">
        <v>10</v>
      </c>
      <c r="M24" t="s">
        <v>64</v>
      </c>
      <c r="N24" t="s">
        <v>44</v>
      </c>
      <c r="O24" t="s">
        <v>177</v>
      </c>
      <c r="P24" t="s">
        <v>67</v>
      </c>
      <c r="Q24" t="s">
        <v>56</v>
      </c>
      <c r="R24" s="1" t="d">
        <v>2024-10-17</v>
      </c>
      <c r="S24" t="s">
        <v>33</v>
      </c>
      <c r="T24" t="s">
        <v>34</v>
      </c>
      <c r="W24" t="s">
        <v>35</v>
      </c>
    </row>
    <row r="25" spans="1:23">
      <c r="A25" t="s">
        <v>178</v>
      </c>
      <c r="B25" s="1" t="d">
        <v>2024-10-06</v>
      </c>
      <c r="C25" t="s">
        <v>179</v>
      </c>
      <c r="D25" t="s">
        <v>25</v>
      </c>
      <c r="E25" t="s">
        <v>180</v>
      </c>
      <c r="F25" t="s">
        <v>53</v>
      </c>
      <c r="G25" t="s">
        <v>181</v>
      </c>
      <c r="H25">
        <v>1199</v>
      </c>
      <c r="I25">
        <v>3</v>
      </c>
      <c r="J25">
        <v>3597</v>
      </c>
      <c r="L25">
        <v>0</v>
      </c>
      <c r="M25" t="s">
        <v>55</v>
      </c>
      <c r="N25" t="s">
        <v>65</v>
      </c>
      <c r="O25" t="s">
        <v>182</v>
      </c>
      <c r="P25" t="s">
        <v>183</v>
      </c>
      <c r="Q25" t="s">
        <v>56</v>
      </c>
      <c r="R25" s="1" t="d">
        <v>2024-10-18</v>
      </c>
      <c r="S25" t="s">
        <v>33</v>
      </c>
      <c r="T25" t="s">
        <v>46</v>
      </c>
      <c r="U25" t="s">
        <v>79</v>
      </c>
      <c r="V25" s="1" t="d">
        <v>2024-11-05</v>
      </c>
      <c r="W25" t="s">
        <v>48</v>
      </c>
    </row>
    <row r="26" spans="1:23">
      <c r="A26" t="s">
        <v>184</v>
      </c>
      <c r="B26" s="1" t="d">
        <v>2024-10-06</v>
      </c>
      <c r="C26" t="s">
        <v>185</v>
      </c>
      <c r="D26" t="s">
        <v>25</v>
      </c>
      <c r="E26" t="s">
        <v>186</v>
      </c>
      <c r="F26" t="s">
        <v>27</v>
      </c>
      <c r="G26" t="s">
        <v>187</v>
      </c>
      <c r="H26">
        <v>1799</v>
      </c>
      <c r="I26">
        <v>2</v>
      </c>
      <c r="J26">
        <v>3598</v>
      </c>
      <c r="L26">
        <v>0</v>
      </c>
      <c r="M26" t="s">
        <v>29</v>
      </c>
      <c r="N26" t="s">
        <v>30</v>
      </c>
      <c r="O26" t="s">
        <v>188</v>
      </c>
      <c r="P26" t="s">
        <v>189</v>
      </c>
      <c r="Q26" t="s">
        <v>56</v>
      </c>
      <c r="R26" s="1" t="d">
        <v>2024-10-17</v>
      </c>
      <c r="S26" t="s">
        <v>33</v>
      </c>
      <c r="T26" t="s">
        <v>34</v>
      </c>
      <c r="W26" t="s">
        <v>35</v>
      </c>
    </row>
    <row r="27" spans="1:23">
      <c r="A27" t="s">
        <v>190</v>
      </c>
      <c r="B27" s="1" t="d">
        <v>2024-10-06</v>
      </c>
      <c r="C27" t="s">
        <v>191</v>
      </c>
      <c r="D27" t="s">
        <v>25</v>
      </c>
      <c r="E27" t="s">
        <v>192</v>
      </c>
      <c r="F27" t="s">
        <v>40</v>
      </c>
      <c r="G27" t="s">
        <v>193</v>
      </c>
      <c r="H27">
        <v>2699</v>
      </c>
      <c r="I27">
        <v>1</v>
      </c>
      <c r="J27">
        <v>2699</v>
      </c>
      <c r="L27">
        <v>0</v>
      </c>
      <c r="M27" t="s">
        <v>43</v>
      </c>
      <c r="N27" t="s">
        <v>44</v>
      </c>
      <c r="O27" t="s">
        <v>194</v>
      </c>
      <c r="P27" t="s">
        <v>183</v>
      </c>
      <c r="Q27" t="s">
        <v>56</v>
      </c>
      <c r="R27" s="1" t="d">
        <v>2024-10-18</v>
      </c>
      <c r="S27" t="s">
        <v>33</v>
      </c>
      <c r="T27" t="s">
        <v>34</v>
      </c>
      <c r="W27" t="s">
        <v>35</v>
      </c>
    </row>
    <row r="28" spans="1:23">
      <c r="A28" t="s">
        <v>195</v>
      </c>
      <c r="B28" s="1" t="d">
        <v>2024-10-06</v>
      </c>
      <c r="C28" t="s">
        <v>196</v>
      </c>
      <c r="D28" t="s">
        <v>38</v>
      </c>
      <c r="E28" t="s">
        <v>197</v>
      </c>
      <c r="F28" t="s">
        <v>61</v>
      </c>
      <c r="G28" t="s">
        <v>198</v>
      </c>
      <c r="H28">
        <v>4599</v>
      </c>
      <c r="I28">
        <v>1</v>
      </c>
      <c r="J28">
        <v>4599</v>
      </c>
      <c r="K28" t="s">
        <v>110</v>
      </c>
      <c r="L28">
        <v>10</v>
      </c>
      <c r="M28" t="s">
        <v>64</v>
      </c>
      <c r="N28" t="s">
        <v>30</v>
      </c>
      <c r="O28" t="s">
        <v>199</v>
      </c>
      <c r="P28" t="s">
        <v>57</v>
      </c>
      <c r="Q28" t="s">
        <v>56</v>
      </c>
      <c r="R28" s="1" t="d">
        <v>2024-10-19</v>
      </c>
      <c r="S28" t="s">
        <v>33</v>
      </c>
      <c r="T28" t="s">
        <v>46</v>
      </c>
      <c r="U28" t="s">
        <v>47</v>
      </c>
      <c r="V28" s="1" t="d">
        <v>2024-11-08</v>
      </c>
      <c r="W28" t="s">
        <v>48</v>
      </c>
    </row>
    <row r="29" spans="1:23">
      <c r="A29" t="s">
        <v>200</v>
      </c>
      <c r="B29" s="1" t="d">
        <v>2024-10-07</v>
      </c>
      <c r="C29" t="s">
        <v>201</v>
      </c>
      <c r="D29" t="s">
        <v>25</v>
      </c>
      <c r="E29" t="s">
        <v>202</v>
      </c>
      <c r="F29" t="s">
        <v>71</v>
      </c>
      <c r="G29" t="s">
        <v>203</v>
      </c>
      <c r="H29">
        <v>1099</v>
      </c>
      <c r="I29">
        <v>1</v>
      </c>
      <c r="J29">
        <v>1099</v>
      </c>
      <c r="L29">
        <v>0</v>
      </c>
      <c r="M29" t="s">
        <v>29</v>
      </c>
      <c r="N29" t="s">
        <v>65</v>
      </c>
      <c r="O29" t="s">
        <v>204</v>
      </c>
      <c r="P29" t="s">
        <v>97</v>
      </c>
      <c r="Q29" t="s">
        <v>31</v>
      </c>
      <c r="R29" s="1" t="d">
        <v>2024-10-20</v>
      </c>
      <c r="S29" t="s">
        <v>33</v>
      </c>
      <c r="T29" t="s">
        <v>34</v>
      </c>
      <c r="W29" t="s">
        <v>35</v>
      </c>
    </row>
    <row r="30" spans="1:23">
      <c r="A30" t="s">
        <v>205</v>
      </c>
      <c r="B30" s="1" t="d">
        <v>2024-10-07</v>
      </c>
      <c r="C30" t="s">
        <v>206</v>
      </c>
      <c r="D30" t="s">
        <v>25</v>
      </c>
      <c r="E30" t="s">
        <v>207</v>
      </c>
      <c r="F30" t="s">
        <v>27</v>
      </c>
      <c r="G30" t="s">
        <v>208</v>
      </c>
      <c r="H30">
        <v>1899</v>
      </c>
      <c r="I30">
        <v>1</v>
      </c>
      <c r="J30">
        <v>1899</v>
      </c>
      <c r="L30">
        <v>0</v>
      </c>
      <c r="M30" t="s">
        <v>55</v>
      </c>
      <c r="N30" t="s">
        <v>44</v>
      </c>
      <c r="O30" t="s">
        <v>209</v>
      </c>
      <c r="P30" t="s">
        <v>97</v>
      </c>
      <c r="Q30" t="s">
        <v>31</v>
      </c>
      <c r="S30" t="s">
        <v>120</v>
      </c>
      <c r="T30" t="s">
        <v>34</v>
      </c>
      <c r="W30" t="s">
        <v>35</v>
      </c>
    </row>
    <row r="31" spans="1:23">
      <c r="A31" t="s">
        <v>210</v>
      </c>
      <c r="B31" s="1" t="d">
        <v>2024-10-07</v>
      </c>
      <c r="C31" t="s">
        <v>211</v>
      </c>
      <c r="D31" t="s">
        <v>25</v>
      </c>
      <c r="E31" t="s">
        <v>212</v>
      </c>
      <c r="F31" t="s">
        <v>53</v>
      </c>
      <c r="G31" t="s">
        <v>213</v>
      </c>
      <c r="H31">
        <v>2199</v>
      </c>
      <c r="I31">
        <v>1</v>
      </c>
      <c r="J31">
        <v>2199</v>
      </c>
      <c r="K31" t="s">
        <v>42</v>
      </c>
      <c r="L31">
        <v>20</v>
      </c>
      <c r="M31" t="s">
        <v>43</v>
      </c>
      <c r="N31" t="s">
        <v>30</v>
      </c>
      <c r="O31" t="s">
        <v>214</v>
      </c>
      <c r="P31" t="s">
        <v>113</v>
      </c>
      <c r="Q31" t="s">
        <v>45</v>
      </c>
      <c r="R31" s="1" t="d">
        <v>2024-10-20</v>
      </c>
      <c r="S31" t="s">
        <v>33</v>
      </c>
      <c r="T31" t="s">
        <v>34</v>
      </c>
      <c r="W31" t="s">
        <v>35</v>
      </c>
    </row>
    <row r="32" spans="1:23">
      <c r="A32" t="s">
        <v>215</v>
      </c>
      <c r="B32" s="1" t="d">
        <v>2024-10-07</v>
      </c>
      <c r="C32" t="s">
        <v>216</v>
      </c>
      <c r="D32" t="s">
        <v>38</v>
      </c>
      <c r="E32" t="s">
        <v>217</v>
      </c>
      <c r="F32" t="s">
        <v>40</v>
      </c>
      <c r="G32" t="s">
        <v>218</v>
      </c>
      <c r="H32">
        <v>5499</v>
      </c>
      <c r="I32">
        <v>1</v>
      </c>
      <c r="J32">
        <v>5499</v>
      </c>
      <c r="L32">
        <v>0</v>
      </c>
      <c r="M32" t="s">
        <v>43</v>
      </c>
      <c r="N32" t="s">
        <v>44</v>
      </c>
      <c r="O32" t="s">
        <v>31</v>
      </c>
      <c r="P32" t="s">
        <v>32</v>
      </c>
      <c r="Q32" t="s">
        <v>31</v>
      </c>
      <c r="R32" s="1" t="d">
        <v>2024-10-21</v>
      </c>
      <c r="S32" t="s">
        <v>33</v>
      </c>
      <c r="T32" t="s">
        <v>46</v>
      </c>
      <c r="U32" t="s">
        <v>47</v>
      </c>
      <c r="V32" s="1" t="d">
        <v>2024-11-10</v>
      </c>
      <c r="W32" t="s">
        <v>48</v>
      </c>
    </row>
    <row r="33" spans="1:23">
      <c r="A33" t="s">
        <v>219</v>
      </c>
      <c r="B33" s="1" t="d">
        <v>2024-10-08</v>
      </c>
      <c r="C33" t="s">
        <v>220</v>
      </c>
      <c r="D33" t="s">
        <v>25</v>
      </c>
      <c r="E33" t="s">
        <v>221</v>
      </c>
      <c r="F33" t="s">
        <v>27</v>
      </c>
      <c r="G33" t="s">
        <v>222</v>
      </c>
      <c r="H33">
        <v>899</v>
      </c>
      <c r="I33">
        <v>2</v>
      </c>
      <c r="J33">
        <v>1798</v>
      </c>
      <c r="L33">
        <v>0</v>
      </c>
      <c r="M33" t="s">
        <v>29</v>
      </c>
      <c r="N33" t="s">
        <v>30</v>
      </c>
      <c r="O33" t="s">
        <v>45</v>
      </c>
      <c r="P33" t="s">
        <v>45</v>
      </c>
      <c r="Q33" t="s">
        <v>45</v>
      </c>
      <c r="R33" s="1" t="d">
        <v>2024-10-14</v>
      </c>
      <c r="S33" t="s">
        <v>33</v>
      </c>
      <c r="T33" t="s">
        <v>34</v>
      </c>
      <c r="W33" t="s">
        <v>35</v>
      </c>
    </row>
    <row r="34" spans="1:23">
      <c r="A34" t="s">
        <v>223</v>
      </c>
      <c r="B34" s="1" t="d">
        <v>2024-10-08</v>
      </c>
      <c r="C34" t="s">
        <v>224</v>
      </c>
      <c r="D34" t="s">
        <v>25</v>
      </c>
      <c r="E34" t="s">
        <v>225</v>
      </c>
      <c r="F34" t="s">
        <v>61</v>
      </c>
      <c r="G34" t="s">
        <v>226</v>
      </c>
      <c r="H34">
        <v>6999</v>
      </c>
      <c r="I34">
        <v>1</v>
      </c>
      <c r="J34">
        <v>6999</v>
      </c>
      <c r="K34" t="s">
        <v>63</v>
      </c>
      <c r="L34">
        <v>15</v>
      </c>
      <c r="M34" t="s">
        <v>64</v>
      </c>
      <c r="N34" t="s">
        <v>65</v>
      </c>
      <c r="O34" t="s">
        <v>90</v>
      </c>
      <c r="P34" t="s">
        <v>91</v>
      </c>
      <c r="Q34" t="s">
        <v>45</v>
      </c>
      <c r="R34" s="1" t="d">
        <v>2024-10-16</v>
      </c>
      <c r="S34" t="s">
        <v>33</v>
      </c>
      <c r="T34" t="s">
        <v>46</v>
      </c>
      <c r="U34" t="s">
        <v>68</v>
      </c>
      <c r="V34" s="1" t="d">
        <v>2024-11-05</v>
      </c>
      <c r="W34" t="s">
        <v>48</v>
      </c>
    </row>
    <row r="35" spans="1:23">
      <c r="A35" t="s">
        <v>227</v>
      </c>
      <c r="B35" s="1" t="d">
        <v>2024-10-08</v>
      </c>
      <c r="C35" t="s">
        <v>228</v>
      </c>
      <c r="D35" t="s">
        <v>38</v>
      </c>
      <c r="E35" t="s">
        <v>229</v>
      </c>
      <c r="F35" t="s">
        <v>71</v>
      </c>
      <c r="G35" t="s">
        <v>230</v>
      </c>
      <c r="H35">
        <v>2999</v>
      </c>
      <c r="I35">
        <v>1</v>
      </c>
      <c r="J35">
        <v>2999</v>
      </c>
      <c r="L35">
        <v>0</v>
      </c>
      <c r="M35" t="s">
        <v>43</v>
      </c>
      <c r="N35" t="s">
        <v>44</v>
      </c>
      <c r="O35" t="s">
        <v>66</v>
      </c>
      <c r="P35" t="s">
        <v>67</v>
      </c>
      <c r="Q35" t="s">
        <v>56</v>
      </c>
      <c r="R35" s="1" t="d">
        <v>2024-10-15</v>
      </c>
      <c r="S35" t="s">
        <v>33</v>
      </c>
      <c r="T35" t="s">
        <v>34</v>
      </c>
      <c r="W35" t="s">
        <v>35</v>
      </c>
    </row>
    <row r="36" spans="1:23">
      <c r="A36" t="s">
        <v>231</v>
      </c>
      <c r="B36" s="1" t="d">
        <v>2024-10-08</v>
      </c>
      <c r="C36" t="s">
        <v>232</v>
      </c>
      <c r="D36" t="s">
        <v>25</v>
      </c>
      <c r="E36" t="s">
        <v>233</v>
      </c>
      <c r="F36" t="s">
        <v>53</v>
      </c>
      <c r="G36" t="s">
        <v>234</v>
      </c>
      <c r="H36">
        <v>1599</v>
      </c>
      <c r="I36">
        <v>1</v>
      </c>
      <c r="J36">
        <v>1599</v>
      </c>
      <c r="L36">
        <v>0</v>
      </c>
      <c r="M36" t="s">
        <v>55</v>
      </c>
      <c r="N36" t="s">
        <v>30</v>
      </c>
      <c r="O36" t="s">
        <v>77</v>
      </c>
      <c r="P36" t="s">
        <v>78</v>
      </c>
      <c r="Q36" t="s">
        <v>56</v>
      </c>
      <c r="R36" s="1" t="d">
        <v>2024-10-17</v>
      </c>
      <c r="S36" t="s">
        <v>33</v>
      </c>
      <c r="T36" t="s">
        <v>46</v>
      </c>
      <c r="U36" t="s">
        <v>47</v>
      </c>
      <c r="V36" s="1" t="d">
        <v>2024-11-08</v>
      </c>
      <c r="W36" t="s">
        <v>48</v>
      </c>
    </row>
    <row r="37" spans="1:23">
      <c r="A37" t="s">
        <v>235</v>
      </c>
      <c r="B37" s="1" t="d">
        <v>2024-10-09</v>
      </c>
      <c r="C37" t="s">
        <v>236</v>
      </c>
      <c r="D37" t="s">
        <v>25</v>
      </c>
      <c r="E37" t="s">
        <v>237</v>
      </c>
      <c r="F37" t="s">
        <v>40</v>
      </c>
      <c r="G37" t="s">
        <v>238</v>
      </c>
      <c r="H37">
        <v>1999</v>
      </c>
      <c r="I37">
        <v>1</v>
      </c>
      <c r="J37">
        <v>1999</v>
      </c>
      <c r="K37" t="s">
        <v>42</v>
      </c>
      <c r="L37">
        <v>20</v>
      </c>
      <c r="M37" t="s">
        <v>111</v>
      </c>
      <c r="N37" t="s">
        <v>44</v>
      </c>
      <c r="O37" t="s">
        <v>84</v>
      </c>
      <c r="P37" t="s">
        <v>32</v>
      </c>
      <c r="Q37" t="s">
        <v>31</v>
      </c>
      <c r="R37" s="1" t="d">
        <v>2024-10-16</v>
      </c>
      <c r="S37" t="s">
        <v>33</v>
      </c>
      <c r="T37" t="s">
        <v>34</v>
      </c>
      <c r="W37" t="s">
        <v>35</v>
      </c>
    </row>
    <row r="38" spans="1:23">
      <c r="A38" t="s">
        <v>239</v>
      </c>
      <c r="B38" s="1" t="d">
        <v>2024-10-09</v>
      </c>
      <c r="C38" t="s">
        <v>240</v>
      </c>
      <c r="D38" t="s">
        <v>25</v>
      </c>
      <c r="E38" t="s">
        <v>241</v>
      </c>
      <c r="F38" t="s">
        <v>27</v>
      </c>
      <c r="G38" t="s">
        <v>242</v>
      </c>
      <c r="H38">
        <v>1799</v>
      </c>
      <c r="I38">
        <v>1</v>
      </c>
      <c r="J38">
        <v>1799</v>
      </c>
      <c r="L38">
        <v>0</v>
      </c>
      <c r="M38" t="s">
        <v>29</v>
      </c>
      <c r="N38" t="s">
        <v>65</v>
      </c>
      <c r="O38" t="s">
        <v>96</v>
      </c>
      <c r="P38" t="s">
        <v>97</v>
      </c>
      <c r="Q38" t="s">
        <v>31</v>
      </c>
      <c r="R38" s="1" t="d">
        <v>2024-10-17</v>
      </c>
      <c r="S38" t="s">
        <v>33</v>
      </c>
      <c r="T38" t="s">
        <v>46</v>
      </c>
      <c r="U38" t="s">
        <v>79</v>
      </c>
      <c r="V38" s="1" t="d">
        <v>2024-11-12</v>
      </c>
      <c r="W38" t="s">
        <v>48</v>
      </c>
    </row>
    <row r="39" spans="1:23">
      <c r="A39" t="s">
        <v>243</v>
      </c>
      <c r="B39" s="1" t="d">
        <v>2024-10-09</v>
      </c>
      <c r="C39" t="s">
        <v>244</v>
      </c>
      <c r="D39" t="s">
        <v>38</v>
      </c>
      <c r="E39" t="s">
        <v>245</v>
      </c>
      <c r="F39" t="s">
        <v>61</v>
      </c>
      <c r="G39" t="s">
        <v>246</v>
      </c>
      <c r="H39">
        <v>7999</v>
      </c>
      <c r="I39">
        <v>1</v>
      </c>
      <c r="J39">
        <v>7999</v>
      </c>
      <c r="L39">
        <v>0</v>
      </c>
      <c r="M39" t="s">
        <v>43</v>
      </c>
      <c r="N39" t="s">
        <v>30</v>
      </c>
      <c r="O39" t="s">
        <v>102</v>
      </c>
      <c r="P39" t="s">
        <v>103</v>
      </c>
      <c r="Q39" t="s">
        <v>45</v>
      </c>
      <c r="R39" s="1" t="d">
        <v>2024-10-18</v>
      </c>
      <c r="S39" t="s">
        <v>33</v>
      </c>
      <c r="T39" t="s">
        <v>34</v>
      </c>
      <c r="W39" t="s">
        <v>35</v>
      </c>
    </row>
    <row r="40" spans="1:23">
      <c r="A40" t="s">
        <v>247</v>
      </c>
      <c r="B40" s="1" t="d">
        <v>2024-10-09</v>
      </c>
      <c r="C40" t="s">
        <v>248</v>
      </c>
      <c r="D40" t="s">
        <v>25</v>
      </c>
      <c r="E40" t="s">
        <v>249</v>
      </c>
      <c r="F40" t="s">
        <v>71</v>
      </c>
      <c r="G40" t="s">
        <v>250</v>
      </c>
      <c r="H40">
        <v>1499</v>
      </c>
      <c r="I40">
        <v>1</v>
      </c>
      <c r="J40">
        <v>1499</v>
      </c>
      <c r="K40" t="s">
        <v>110</v>
      </c>
      <c r="L40">
        <v>10</v>
      </c>
      <c r="M40" t="s">
        <v>64</v>
      </c>
      <c r="N40" t="s">
        <v>44</v>
      </c>
      <c r="O40" t="s">
        <v>112</v>
      </c>
      <c r="P40" t="s">
        <v>113</v>
      </c>
      <c r="Q40" t="s">
        <v>45</v>
      </c>
      <c r="R40" s="1" t="d">
        <v>2024-10-17</v>
      </c>
      <c r="S40" t="s">
        <v>33</v>
      </c>
      <c r="T40" t="s">
        <v>34</v>
      </c>
      <c r="W40" t="s">
        <v>35</v>
      </c>
    </row>
    <row r="41" spans="1:23">
      <c r="A41" t="s">
        <v>251</v>
      </c>
      <c r="B41" s="1" t="d">
        <v>2024-10-10</v>
      </c>
      <c r="C41" t="s">
        <v>252</v>
      </c>
      <c r="D41" t="s">
        <v>25</v>
      </c>
      <c r="E41" t="s">
        <v>253</v>
      </c>
      <c r="F41" t="s">
        <v>53</v>
      </c>
      <c r="G41" t="s">
        <v>254</v>
      </c>
      <c r="H41">
        <v>1699</v>
      </c>
      <c r="I41">
        <v>1</v>
      </c>
      <c r="J41">
        <v>1699</v>
      </c>
      <c r="L41">
        <v>0</v>
      </c>
      <c r="M41" t="s">
        <v>55</v>
      </c>
      <c r="N41" t="s">
        <v>30</v>
      </c>
      <c r="O41" t="s">
        <v>56</v>
      </c>
      <c r="P41" t="s">
        <v>57</v>
      </c>
      <c r="Q41" t="s">
        <v>56</v>
      </c>
      <c r="R41" s="1" t="d">
        <v>2024-10-19</v>
      </c>
      <c r="S41" t="s">
        <v>33</v>
      </c>
      <c r="T41" t="s">
        <v>46</v>
      </c>
      <c r="U41" t="s">
        <v>47</v>
      </c>
      <c r="V41" s="1" t="d">
        <v>2024-11-10</v>
      </c>
      <c r="W41" t="s">
        <v>48</v>
      </c>
    </row>
    <row r="42" spans="1:23">
      <c r="A42" t="s">
        <v>255</v>
      </c>
      <c r="B42" s="1" t="d">
        <v>2024-10-10</v>
      </c>
      <c r="C42" t="s">
        <v>256</v>
      </c>
      <c r="D42" t="s">
        <v>25</v>
      </c>
      <c r="E42" t="s">
        <v>257</v>
      </c>
      <c r="F42" t="s">
        <v>40</v>
      </c>
      <c r="G42" t="s">
        <v>258</v>
      </c>
      <c r="H42">
        <v>2299</v>
      </c>
      <c r="I42">
        <v>1</v>
      </c>
      <c r="J42">
        <v>2299</v>
      </c>
      <c r="L42">
        <v>0</v>
      </c>
      <c r="M42" t="s">
        <v>29</v>
      </c>
      <c r="N42" t="s">
        <v>65</v>
      </c>
      <c r="O42" t="s">
        <v>31</v>
      </c>
      <c r="P42" t="s">
        <v>32</v>
      </c>
      <c r="Q42" t="s">
        <v>31</v>
      </c>
      <c r="R42" s="1" t="d">
        <v>2024-10-18</v>
      </c>
      <c r="S42" t="s">
        <v>33</v>
      </c>
      <c r="T42" t="s">
        <v>34</v>
      </c>
      <c r="W42" t="s">
        <v>35</v>
      </c>
    </row>
    <row r="43" spans="1:23">
      <c r="A43" t="s">
        <v>259</v>
      </c>
      <c r="B43" s="1" t="d">
        <v>2024-10-10</v>
      </c>
      <c r="C43" t="s">
        <v>260</v>
      </c>
      <c r="D43" t="s">
        <v>38</v>
      </c>
      <c r="E43" t="s">
        <v>261</v>
      </c>
      <c r="F43" t="s">
        <v>27</v>
      </c>
      <c r="G43" t="s">
        <v>262</v>
      </c>
      <c r="H43">
        <v>1599</v>
      </c>
      <c r="I43">
        <v>2</v>
      </c>
      <c r="J43">
        <v>3198</v>
      </c>
      <c r="K43" t="s">
        <v>42</v>
      </c>
      <c r="L43">
        <v>20</v>
      </c>
      <c r="M43" t="s">
        <v>43</v>
      </c>
      <c r="N43" t="s">
        <v>44</v>
      </c>
      <c r="O43" t="s">
        <v>45</v>
      </c>
      <c r="P43" t="s">
        <v>45</v>
      </c>
      <c r="Q43" t="s">
        <v>45</v>
      </c>
      <c r="R43" s="1" t="d">
        <v>2024-10-17</v>
      </c>
      <c r="S43" t="s">
        <v>33</v>
      </c>
      <c r="T43" t="s">
        <v>46</v>
      </c>
      <c r="U43" t="s">
        <v>104</v>
      </c>
      <c r="V43" s="1" t="d">
        <v>2024-11-08</v>
      </c>
      <c r="W43" t="s">
        <v>48</v>
      </c>
    </row>
    <row r="44" spans="1:23">
      <c r="A44" t="s">
        <v>263</v>
      </c>
      <c r="B44" s="1" t="d">
        <v>2024-10-10</v>
      </c>
      <c r="C44" t="s">
        <v>264</v>
      </c>
      <c r="D44" t="s">
        <v>25</v>
      </c>
      <c r="E44" t="s">
        <v>265</v>
      </c>
      <c r="F44" t="s">
        <v>61</v>
      </c>
      <c r="G44" t="s">
        <v>266</v>
      </c>
      <c r="H44">
        <v>2499</v>
      </c>
      <c r="I44">
        <v>1</v>
      </c>
      <c r="J44">
        <v>2499</v>
      </c>
      <c r="L44">
        <v>0</v>
      </c>
      <c r="M44" t="s">
        <v>111</v>
      </c>
      <c r="N44" t="s">
        <v>30</v>
      </c>
      <c r="O44" t="s">
        <v>118</v>
      </c>
      <c r="P44" t="s">
        <v>119</v>
      </c>
      <c r="Q44" t="s">
        <v>45</v>
      </c>
      <c r="R44" s="1" t="d">
        <v>2024-10-20</v>
      </c>
      <c r="S44" t="s">
        <v>33</v>
      </c>
      <c r="T44" t="s">
        <v>34</v>
      </c>
      <c r="W44" t="s">
        <v>35</v>
      </c>
    </row>
    <row r="45" spans="1:23">
      <c r="A45" t="s">
        <v>267</v>
      </c>
      <c r="B45" s="1" t="d">
        <v>2024-10-11</v>
      </c>
      <c r="C45" t="s">
        <v>268</v>
      </c>
      <c r="D45" t="s">
        <v>25</v>
      </c>
      <c r="E45" t="s">
        <v>269</v>
      </c>
      <c r="F45" t="s">
        <v>71</v>
      </c>
      <c r="G45" t="s">
        <v>270</v>
      </c>
      <c r="H45">
        <v>1899</v>
      </c>
      <c r="I45">
        <v>1</v>
      </c>
      <c r="J45">
        <v>1899</v>
      </c>
      <c r="L45">
        <v>0</v>
      </c>
      <c r="M45" t="s">
        <v>64</v>
      </c>
      <c r="N45" t="s">
        <v>65</v>
      </c>
      <c r="O45" t="s">
        <v>137</v>
      </c>
      <c r="P45" t="s">
        <v>113</v>
      </c>
      <c r="Q45" t="s">
        <v>45</v>
      </c>
      <c r="R45" s="1" t="d">
        <v>2024-10-21</v>
      </c>
      <c r="S45" t="s">
        <v>33</v>
      </c>
      <c r="T45" t="s">
        <v>46</v>
      </c>
      <c r="U45" t="s">
        <v>138</v>
      </c>
      <c r="V45" s="1" t="d">
        <v>2024-11-12</v>
      </c>
      <c r="W45" t="s">
        <v>48</v>
      </c>
    </row>
    <row r="46" spans="1:23">
      <c r="A46" t="s">
        <v>271</v>
      </c>
      <c r="B46" s="1" t="d">
        <v>2024-10-11</v>
      </c>
      <c r="C46" t="s">
        <v>272</v>
      </c>
      <c r="D46" t="s">
        <v>25</v>
      </c>
      <c r="E46" t="s">
        <v>273</v>
      </c>
      <c r="F46" t="s">
        <v>53</v>
      </c>
      <c r="G46" t="s">
        <v>274</v>
      </c>
      <c r="H46">
        <v>1999</v>
      </c>
      <c r="I46">
        <v>1</v>
      </c>
      <c r="J46">
        <v>1999</v>
      </c>
      <c r="K46" t="s">
        <v>63</v>
      </c>
      <c r="L46">
        <v>15</v>
      </c>
      <c r="M46" t="s">
        <v>29</v>
      </c>
      <c r="N46" t="s">
        <v>44</v>
      </c>
      <c r="O46" t="s">
        <v>143</v>
      </c>
      <c r="P46" t="s">
        <v>144</v>
      </c>
      <c r="Q46" t="s">
        <v>45</v>
      </c>
      <c r="R46" s="1" t="d">
        <v>2024-10-19</v>
      </c>
      <c r="S46" t="s">
        <v>33</v>
      </c>
      <c r="T46" t="s">
        <v>34</v>
      </c>
      <c r="W46" t="s">
        <v>35</v>
      </c>
    </row>
    <row r="47" spans="1:23">
      <c r="A47" t="s">
        <v>275</v>
      </c>
      <c r="B47" s="1" t="d">
        <v>2024-10-11</v>
      </c>
      <c r="C47" t="s">
        <v>276</v>
      </c>
      <c r="D47" t="s">
        <v>38</v>
      </c>
      <c r="E47" t="s">
        <v>277</v>
      </c>
      <c r="F47" t="s">
        <v>40</v>
      </c>
      <c r="G47" t="s">
        <v>278</v>
      </c>
      <c r="H47">
        <v>2599</v>
      </c>
      <c r="I47">
        <v>1</v>
      </c>
      <c r="J47">
        <v>2599</v>
      </c>
      <c r="L47">
        <v>0</v>
      </c>
      <c r="M47" t="s">
        <v>43</v>
      </c>
      <c r="N47" t="s">
        <v>30</v>
      </c>
      <c r="O47" t="s">
        <v>150</v>
      </c>
      <c r="P47" t="s">
        <v>151</v>
      </c>
      <c r="Q47" t="s">
        <v>31</v>
      </c>
      <c r="R47" s="1" t="d">
        <v>2024-10-20</v>
      </c>
      <c r="S47" t="s">
        <v>33</v>
      </c>
      <c r="T47" t="s">
        <v>34</v>
      </c>
      <c r="W47" t="s">
        <v>35</v>
      </c>
    </row>
    <row r="48" spans="1:23">
      <c r="A48" t="s">
        <v>279</v>
      </c>
      <c r="B48" s="1" t="d">
        <v>2024-10-11</v>
      </c>
      <c r="C48" t="s">
        <v>280</v>
      </c>
      <c r="D48" t="s">
        <v>25</v>
      </c>
      <c r="E48" t="s">
        <v>281</v>
      </c>
      <c r="F48" t="s">
        <v>27</v>
      </c>
      <c r="G48" t="s">
        <v>282</v>
      </c>
      <c r="H48">
        <v>1299</v>
      </c>
      <c r="I48">
        <v>1</v>
      </c>
      <c r="J48">
        <v>1299</v>
      </c>
      <c r="L48">
        <v>0</v>
      </c>
      <c r="M48" t="s">
        <v>55</v>
      </c>
      <c r="N48" t="s">
        <v>65</v>
      </c>
      <c r="O48" t="s">
        <v>156</v>
      </c>
      <c r="P48" t="s">
        <v>97</v>
      </c>
      <c r="Q48" t="s">
        <v>31</v>
      </c>
      <c r="S48" t="s">
        <v>120</v>
      </c>
      <c r="T48" t="s">
        <v>34</v>
      </c>
      <c r="W48" t="s">
        <v>35</v>
      </c>
    </row>
    <row r="49" spans="1:23">
      <c r="A49" t="s">
        <v>283</v>
      </c>
      <c r="B49" s="1" t="d">
        <v>2024-10-12</v>
      </c>
      <c r="C49" t="s">
        <v>284</v>
      </c>
      <c r="D49" t="s">
        <v>25</v>
      </c>
      <c r="E49" t="s">
        <v>285</v>
      </c>
      <c r="F49" t="s">
        <v>61</v>
      </c>
      <c r="G49" t="s">
        <v>286</v>
      </c>
      <c r="H49">
        <v>5999</v>
      </c>
      <c r="I49">
        <v>1</v>
      </c>
      <c r="J49">
        <v>5999</v>
      </c>
      <c r="K49" t="s">
        <v>42</v>
      </c>
      <c r="L49">
        <v>20</v>
      </c>
      <c r="M49" t="s">
        <v>43</v>
      </c>
      <c r="N49" t="s">
        <v>44</v>
      </c>
      <c r="O49" t="s">
        <v>161</v>
      </c>
      <c r="P49" t="s">
        <v>162</v>
      </c>
      <c r="Q49" t="s">
        <v>45</v>
      </c>
      <c r="R49" s="1" t="d">
        <v>2024-10-22</v>
      </c>
      <c r="S49" t="s">
        <v>33</v>
      </c>
      <c r="T49" t="s">
        <v>46</v>
      </c>
      <c r="U49" t="s">
        <v>47</v>
      </c>
      <c r="V49" s="1" t="d">
        <v>2024-11-15</v>
      </c>
      <c r="W49" t="s">
        <v>48</v>
      </c>
    </row>
    <row r="50" spans="1:23">
      <c r="A50" t="s">
        <v>287</v>
      </c>
      <c r="B50" s="1" t="d">
        <v>2024-10-12</v>
      </c>
      <c r="C50" t="s">
        <v>288</v>
      </c>
      <c r="D50" t="s">
        <v>25</v>
      </c>
      <c r="E50" t="s">
        <v>289</v>
      </c>
      <c r="F50" t="s">
        <v>71</v>
      </c>
      <c r="G50" t="s">
        <v>290</v>
      </c>
      <c r="H50">
        <v>799</v>
      </c>
      <c r="I50">
        <v>2</v>
      </c>
      <c r="J50">
        <v>1598</v>
      </c>
      <c r="L50">
        <v>0</v>
      </c>
      <c r="M50" t="s">
        <v>29</v>
      </c>
      <c r="N50" t="s">
        <v>30</v>
      </c>
      <c r="O50" t="s">
        <v>167</v>
      </c>
      <c r="P50" t="s">
        <v>151</v>
      </c>
      <c r="Q50" t="s">
        <v>31</v>
      </c>
      <c r="R50" s="1" t="d">
        <v>2024-10-20</v>
      </c>
      <c r="S50" t="s">
        <v>33</v>
      </c>
      <c r="T50" t="s">
        <v>34</v>
      </c>
      <c r="W50" t="s">
        <v>35</v>
      </c>
    </row>
    <row r="51" spans="1:23">
      <c r="A51" t="s">
        <v>291</v>
      </c>
      <c r="B51" s="1" t="d">
        <v>2024-10-12</v>
      </c>
      <c r="C51" t="s">
        <v>292</v>
      </c>
      <c r="D51" t="s">
        <v>38</v>
      </c>
      <c r="E51" t="s">
        <v>293</v>
      </c>
      <c r="F51" t="s">
        <v>53</v>
      </c>
      <c r="G51" t="s">
        <v>294</v>
      </c>
      <c r="H51">
        <v>999</v>
      </c>
      <c r="I51">
        <v>2</v>
      </c>
      <c r="J51">
        <v>1998</v>
      </c>
      <c r="L51">
        <v>0</v>
      </c>
      <c r="M51" t="s">
        <v>111</v>
      </c>
      <c r="N51" t="s">
        <v>44</v>
      </c>
      <c r="O51" t="s">
        <v>172</v>
      </c>
      <c r="P51" t="s">
        <v>32</v>
      </c>
      <c r="Q51" t="s">
        <v>31</v>
      </c>
      <c r="R51" s="1" t="d">
        <v>2024-10-19</v>
      </c>
      <c r="S51" t="s">
        <v>33</v>
      </c>
      <c r="T51" t="s">
        <v>34</v>
      </c>
      <c r="W51" t="s">
        <v>35</v>
      </c>
    </row>
    <row r="52" spans="1:23">
      <c r="A52" t="s">
        <v>295</v>
      </c>
      <c r="B52" s="1" t="d">
        <v>2024-10-12</v>
      </c>
      <c r="C52" t="s">
        <v>296</v>
      </c>
      <c r="D52" t="s">
        <v>25</v>
      </c>
      <c r="E52" t="s">
        <v>297</v>
      </c>
      <c r="F52" t="s">
        <v>40</v>
      </c>
      <c r="G52" t="s">
        <v>298</v>
      </c>
      <c r="H52">
        <v>1899</v>
      </c>
      <c r="I52">
        <v>1</v>
      </c>
      <c r="J52">
        <v>1899</v>
      </c>
      <c r="L52">
        <v>0</v>
      </c>
      <c r="M52" t="s">
        <v>64</v>
      </c>
      <c r="N52" t="s">
        <v>65</v>
      </c>
      <c r="O52" t="s">
        <v>177</v>
      </c>
      <c r="P52" t="s">
        <v>67</v>
      </c>
      <c r="Q52" t="s">
        <v>56</v>
      </c>
      <c r="R52" s="1" t="d">
        <v>2024-10-22</v>
      </c>
      <c r="S52" t="s">
        <v>33</v>
      </c>
      <c r="T52" t="s">
        <v>46</v>
      </c>
      <c r="U52" t="s">
        <v>68</v>
      </c>
      <c r="V52" s="1" t="d">
        <v>2024-11-14</v>
      </c>
      <c r="W52" t="s">
        <v>48</v>
      </c>
    </row>
    <row r="53" spans="1:23">
      <c r="A53" t="s">
        <v>299</v>
      </c>
      <c r="B53" s="1" t="d">
        <v>2024-10-13</v>
      </c>
      <c r="C53" t="s">
        <v>300</v>
      </c>
      <c r="D53" t="s">
        <v>25</v>
      </c>
      <c r="E53" t="s">
        <v>301</v>
      </c>
      <c r="F53" t="s">
        <v>27</v>
      </c>
      <c r="G53" t="s">
        <v>302</v>
      </c>
      <c r="H53">
        <v>1699</v>
      </c>
      <c r="I53">
        <v>1</v>
      </c>
      <c r="J53">
        <v>1699</v>
      </c>
      <c r="K53" t="s">
        <v>110</v>
      </c>
      <c r="L53">
        <v>10</v>
      </c>
      <c r="M53" t="s">
        <v>43</v>
      </c>
      <c r="N53" t="s">
        <v>30</v>
      </c>
      <c r="O53" t="s">
        <v>182</v>
      </c>
      <c r="P53" t="s">
        <v>183</v>
      </c>
      <c r="Q53" t="s">
        <v>56</v>
      </c>
      <c r="R53" s="1" t="d">
        <v>2024-10-21</v>
      </c>
      <c r="S53" t="s">
        <v>33</v>
      </c>
      <c r="T53" t="s">
        <v>34</v>
      </c>
      <c r="W53" t="s">
        <v>35</v>
      </c>
    </row>
    <row r="54" spans="1:23">
      <c r="A54" t="s">
        <v>303</v>
      </c>
      <c r="B54" s="1" t="d">
        <v>2024-10-13</v>
      </c>
      <c r="C54" t="s">
        <v>304</v>
      </c>
      <c r="D54" t="s">
        <v>25</v>
      </c>
      <c r="E54" t="s">
        <v>305</v>
      </c>
      <c r="F54" t="s">
        <v>61</v>
      </c>
      <c r="G54" t="s">
        <v>306</v>
      </c>
      <c r="H54">
        <v>3799</v>
      </c>
      <c r="I54">
        <v>1</v>
      </c>
      <c r="J54">
        <v>3799</v>
      </c>
      <c r="L54">
        <v>0</v>
      </c>
      <c r="M54" t="s">
        <v>29</v>
      </c>
      <c r="N54" t="s">
        <v>44</v>
      </c>
      <c r="O54" t="s">
        <v>188</v>
      </c>
      <c r="P54" t="s">
        <v>189</v>
      </c>
      <c r="Q54" t="s">
        <v>56</v>
      </c>
      <c r="R54" s="1" t="d">
        <v>2024-10-23</v>
      </c>
      <c r="S54" t="s">
        <v>33</v>
      </c>
      <c r="T54" t="s">
        <v>46</v>
      </c>
      <c r="U54" t="s">
        <v>47</v>
      </c>
      <c r="V54" s="1" t="d">
        <v>2024-11-18</v>
      </c>
      <c r="W54" t="s">
        <v>48</v>
      </c>
    </row>
    <row r="55" spans="1:23">
      <c r="A55" t="s">
        <v>307</v>
      </c>
      <c r="B55" s="1" t="d">
        <v>2024-10-13</v>
      </c>
      <c r="C55" t="s">
        <v>308</v>
      </c>
      <c r="D55" t="s">
        <v>38</v>
      </c>
      <c r="E55" t="s">
        <v>309</v>
      </c>
      <c r="F55" t="s">
        <v>71</v>
      </c>
      <c r="G55" t="s">
        <v>310</v>
      </c>
      <c r="H55">
        <v>1299</v>
      </c>
      <c r="I55">
        <v>1</v>
      </c>
      <c r="J55">
        <v>1299</v>
      </c>
      <c r="L55">
        <v>0</v>
      </c>
      <c r="M55" t="s">
        <v>55</v>
      </c>
      <c r="N55" t="s">
        <v>65</v>
      </c>
      <c r="O55" t="s">
        <v>194</v>
      </c>
      <c r="P55" t="s">
        <v>183</v>
      </c>
      <c r="Q55" t="s">
        <v>56</v>
      </c>
      <c r="R55" s="1" t="d">
        <v>2024-10-22</v>
      </c>
      <c r="S55" t="s">
        <v>33</v>
      </c>
      <c r="T55" t="s">
        <v>34</v>
      </c>
      <c r="W55" t="s">
        <v>35</v>
      </c>
    </row>
    <row r="56" spans="1:23">
      <c r="A56" t="s">
        <v>311</v>
      </c>
      <c r="B56" s="1" t="d">
        <v>2024-10-13</v>
      </c>
      <c r="C56" t="s">
        <v>312</v>
      </c>
      <c r="D56" t="s">
        <v>25</v>
      </c>
      <c r="E56" t="s">
        <v>313</v>
      </c>
      <c r="F56" t="s">
        <v>53</v>
      </c>
      <c r="G56" t="s">
        <v>314</v>
      </c>
      <c r="H56">
        <v>2099</v>
      </c>
      <c r="I56">
        <v>1</v>
      </c>
      <c r="J56">
        <v>2099</v>
      </c>
      <c r="K56" t="s">
        <v>42</v>
      </c>
      <c r="L56">
        <v>20</v>
      </c>
      <c r="M56" t="s">
        <v>43</v>
      </c>
      <c r="N56" t="s">
        <v>30</v>
      </c>
      <c r="O56" t="s">
        <v>199</v>
      </c>
      <c r="P56" t="s">
        <v>57</v>
      </c>
      <c r="Q56" t="s">
        <v>56</v>
      </c>
      <c r="R56" s="1" t="d">
        <v>2024-10-24</v>
      </c>
      <c r="S56" t="s">
        <v>33</v>
      </c>
      <c r="T56" t="s">
        <v>34</v>
      </c>
      <c r="W56" t="s">
        <v>35</v>
      </c>
    </row>
    <row r="57" spans="1:23">
      <c r="A57" t="s">
        <v>315</v>
      </c>
      <c r="B57" s="1" t="d">
        <v>2024-10-14</v>
      </c>
      <c r="C57" t="s">
        <v>316</v>
      </c>
      <c r="D57" t="s">
        <v>25</v>
      </c>
      <c r="E57" t="s">
        <v>317</v>
      </c>
      <c r="F57" t="s">
        <v>40</v>
      </c>
      <c r="G57" t="s">
        <v>318</v>
      </c>
      <c r="H57">
        <v>2799</v>
      </c>
      <c r="I57">
        <v>1</v>
      </c>
      <c r="J57">
        <v>2799</v>
      </c>
      <c r="L57">
        <v>0</v>
      </c>
      <c r="M57" t="s">
        <v>64</v>
      </c>
      <c r="N57" t="s">
        <v>44</v>
      </c>
      <c r="O57" t="s">
        <v>204</v>
      </c>
      <c r="P57" t="s">
        <v>97</v>
      </c>
      <c r="Q57" t="s">
        <v>31</v>
      </c>
      <c r="R57" s="1" t="d">
        <v>2024-10-23</v>
      </c>
      <c r="S57" t="s">
        <v>33</v>
      </c>
      <c r="T57" t="s">
        <v>46</v>
      </c>
      <c r="U57" t="s">
        <v>79</v>
      </c>
      <c r="V57" s="1" t="d">
        <v>2024-11-16</v>
      </c>
      <c r="W57" t="s">
        <v>48</v>
      </c>
    </row>
    <row r="58" spans="1:23">
      <c r="A58" t="s">
        <v>319</v>
      </c>
      <c r="B58" s="1" t="d">
        <v>2024-10-14</v>
      </c>
      <c r="C58" t="s">
        <v>320</v>
      </c>
      <c r="D58" t="s">
        <v>25</v>
      </c>
      <c r="E58" t="s">
        <v>321</v>
      </c>
      <c r="F58" t="s">
        <v>27</v>
      </c>
      <c r="G58" t="s">
        <v>322</v>
      </c>
      <c r="H58">
        <v>1499</v>
      </c>
      <c r="I58">
        <v>1</v>
      </c>
      <c r="J58">
        <v>1499</v>
      </c>
      <c r="L58">
        <v>0</v>
      </c>
      <c r="M58" t="s">
        <v>111</v>
      </c>
      <c r="N58" t="s">
        <v>30</v>
      </c>
      <c r="O58" t="s">
        <v>209</v>
      </c>
      <c r="P58" t="s">
        <v>97</v>
      </c>
      <c r="Q58" t="s">
        <v>31</v>
      </c>
      <c r="R58" s="1" t="d">
        <v>2024-10-22</v>
      </c>
      <c r="S58" t="s">
        <v>33</v>
      </c>
      <c r="T58" t="s">
        <v>34</v>
      </c>
      <c r="W58" t="s">
        <v>35</v>
      </c>
    </row>
    <row r="59" spans="1:23">
      <c r="A59" t="s">
        <v>323</v>
      </c>
      <c r="B59" s="1" t="d">
        <v>2024-10-14</v>
      </c>
      <c r="C59" t="s">
        <v>324</v>
      </c>
      <c r="D59" t="s">
        <v>38</v>
      </c>
      <c r="E59" t="s">
        <v>325</v>
      </c>
      <c r="F59" t="s">
        <v>61</v>
      </c>
      <c r="G59" t="s">
        <v>326</v>
      </c>
      <c r="H59">
        <v>4499</v>
      </c>
      <c r="I59">
        <v>1</v>
      </c>
      <c r="J59">
        <v>4499</v>
      </c>
      <c r="K59" t="s">
        <v>63</v>
      </c>
      <c r="L59">
        <v>15</v>
      </c>
      <c r="M59" t="s">
        <v>29</v>
      </c>
      <c r="N59" t="s">
        <v>65</v>
      </c>
      <c r="O59" t="s">
        <v>214</v>
      </c>
      <c r="P59" t="s">
        <v>113</v>
      </c>
      <c r="Q59" t="s">
        <v>45</v>
      </c>
      <c r="R59" s="1" t="d">
        <v>2024-10-25</v>
      </c>
      <c r="S59" t="s">
        <v>33</v>
      </c>
      <c r="T59" t="s">
        <v>46</v>
      </c>
      <c r="U59" t="s">
        <v>104</v>
      </c>
      <c r="V59" s="1" t="d">
        <v>2024-11-20</v>
      </c>
      <c r="W59" t="s">
        <v>48</v>
      </c>
    </row>
    <row r="60" spans="1:23">
      <c r="A60" t="s">
        <v>327</v>
      </c>
      <c r="B60" s="1" t="d">
        <v>2024-10-14</v>
      </c>
      <c r="C60" t="s">
        <v>328</v>
      </c>
      <c r="D60" t="s">
        <v>25</v>
      </c>
      <c r="E60" t="s">
        <v>329</v>
      </c>
      <c r="F60" t="s">
        <v>71</v>
      </c>
      <c r="G60" t="s">
        <v>330</v>
      </c>
      <c r="H60">
        <v>899</v>
      </c>
      <c r="I60">
        <v>1</v>
      </c>
      <c r="J60">
        <v>899</v>
      </c>
      <c r="L60">
        <v>0</v>
      </c>
      <c r="M60" t="s">
        <v>43</v>
      </c>
      <c r="N60" t="s">
        <v>44</v>
      </c>
      <c r="O60" t="s">
        <v>31</v>
      </c>
      <c r="P60" t="s">
        <v>32</v>
      </c>
      <c r="Q60" t="s">
        <v>31</v>
      </c>
      <c r="R60" s="1" t="d">
        <v>2024-10-23</v>
      </c>
      <c r="S60" t="s">
        <v>33</v>
      </c>
      <c r="T60" t="s">
        <v>34</v>
      </c>
      <c r="W60" t="s">
        <v>35</v>
      </c>
    </row>
    <row r="61" spans="1:23">
      <c r="A61" t="s">
        <v>331</v>
      </c>
      <c r="B61" s="1" t="d">
        <v>2024-10-15</v>
      </c>
      <c r="C61" t="s">
        <v>332</v>
      </c>
      <c r="D61" t="s">
        <v>25</v>
      </c>
      <c r="E61" t="s">
        <v>333</v>
      </c>
      <c r="F61" t="s">
        <v>53</v>
      </c>
      <c r="G61" t="s">
        <v>334</v>
      </c>
      <c r="H61">
        <v>1799</v>
      </c>
      <c r="I61">
        <v>1</v>
      </c>
      <c r="J61">
        <v>1799</v>
      </c>
      <c r="L61">
        <v>0</v>
      </c>
      <c r="M61" t="s">
        <v>55</v>
      </c>
      <c r="N61" t="s">
        <v>30</v>
      </c>
      <c r="O61" t="s">
        <v>45</v>
      </c>
      <c r="P61" t="s">
        <v>45</v>
      </c>
      <c r="Q61" t="s">
        <v>45</v>
      </c>
      <c r="S61" t="s">
        <v>120</v>
      </c>
      <c r="T61" t="s">
        <v>34</v>
      </c>
      <c r="W61" t="s">
        <v>35</v>
      </c>
    </row>
    <row r="62" spans="1:23">
      <c r="A62" t="s">
        <v>335</v>
      </c>
      <c r="B62" s="1" t="d">
        <v>2024-10-15</v>
      </c>
      <c r="C62" t="s">
        <v>336</v>
      </c>
      <c r="D62" t="s">
        <v>25</v>
      </c>
      <c r="E62" t="s">
        <v>337</v>
      </c>
      <c r="F62" t="s">
        <v>40</v>
      </c>
      <c r="G62" t="s">
        <v>338</v>
      </c>
      <c r="H62">
        <v>2199</v>
      </c>
      <c r="I62">
        <v>1</v>
      </c>
      <c r="J62">
        <v>2199</v>
      </c>
      <c r="K62" t="s">
        <v>42</v>
      </c>
      <c r="L62">
        <v>20</v>
      </c>
      <c r="M62" t="s">
        <v>64</v>
      </c>
      <c r="N62" t="s">
        <v>65</v>
      </c>
      <c r="O62" t="s">
        <v>90</v>
      </c>
      <c r="P62" t="s">
        <v>91</v>
      </c>
      <c r="Q62" t="s">
        <v>45</v>
      </c>
      <c r="R62" s="1" t="d">
        <v>2024-10-26</v>
      </c>
      <c r="S62" t="s">
        <v>33</v>
      </c>
      <c r="T62" t="s">
        <v>46</v>
      </c>
      <c r="U62" t="s">
        <v>47</v>
      </c>
      <c r="V62" s="1" t="d">
        <v>2024-11-22</v>
      </c>
      <c r="W62" t="s">
        <v>48</v>
      </c>
    </row>
    <row r="63" spans="1:23">
      <c r="A63" t="s">
        <v>339</v>
      </c>
      <c r="B63" s="1" t="d">
        <v>2024-10-15</v>
      </c>
      <c r="C63" t="s">
        <v>340</v>
      </c>
      <c r="D63" t="s">
        <v>38</v>
      </c>
      <c r="E63" t="s">
        <v>341</v>
      </c>
      <c r="F63" t="s">
        <v>27</v>
      </c>
      <c r="G63" t="s">
        <v>342</v>
      </c>
      <c r="H63">
        <v>1399</v>
      </c>
      <c r="I63">
        <v>1</v>
      </c>
      <c r="J63">
        <v>1399</v>
      </c>
      <c r="L63">
        <v>0</v>
      </c>
      <c r="M63" t="s">
        <v>29</v>
      </c>
      <c r="N63" t="s">
        <v>44</v>
      </c>
      <c r="O63" t="s">
        <v>66</v>
      </c>
      <c r="P63" t="s">
        <v>67</v>
      </c>
      <c r="Q63" t="s">
        <v>56</v>
      </c>
      <c r="R63" s="1" t="d">
        <v>2024-10-24</v>
      </c>
      <c r="S63" t="s">
        <v>33</v>
      </c>
      <c r="T63" t="s">
        <v>34</v>
      </c>
      <c r="W63" t="s">
        <v>35</v>
      </c>
    </row>
    <row r="64" spans="1:23">
      <c r="A64" t="s">
        <v>343</v>
      </c>
      <c r="B64" s="1" t="d">
        <v>2024-10-15</v>
      </c>
      <c r="C64" t="s">
        <v>344</v>
      </c>
      <c r="D64" t="s">
        <v>25</v>
      </c>
      <c r="E64" t="s">
        <v>345</v>
      </c>
      <c r="F64" t="s">
        <v>61</v>
      </c>
      <c r="G64" t="s">
        <v>346</v>
      </c>
      <c r="H64">
        <v>2999</v>
      </c>
      <c r="I64">
        <v>1</v>
      </c>
      <c r="J64">
        <v>2999</v>
      </c>
      <c r="L64">
        <v>0</v>
      </c>
      <c r="M64" t="s">
        <v>43</v>
      </c>
      <c r="N64" t="s">
        <v>30</v>
      </c>
      <c r="O64" t="s">
        <v>77</v>
      </c>
      <c r="P64" t="s">
        <v>78</v>
      </c>
      <c r="Q64" t="s">
        <v>56</v>
      </c>
      <c r="R64" s="1" t="d">
        <v>2024-10-27</v>
      </c>
      <c r="S64" t="s">
        <v>33</v>
      </c>
      <c r="T64" t="s">
        <v>46</v>
      </c>
      <c r="U64" t="s">
        <v>68</v>
      </c>
      <c r="V64" s="1" t="d">
        <v>2024-11-24</v>
      </c>
      <c r="W64" t="s">
        <v>48</v>
      </c>
    </row>
    <row r="65" spans="1:23">
      <c r="A65" t="s">
        <v>347</v>
      </c>
      <c r="B65" s="1" t="d">
        <v>2024-10-16</v>
      </c>
      <c r="C65" t="s">
        <v>348</v>
      </c>
      <c r="D65" t="s">
        <v>25</v>
      </c>
      <c r="E65" t="s">
        <v>349</v>
      </c>
      <c r="F65" t="s">
        <v>71</v>
      </c>
      <c r="G65" t="s">
        <v>350</v>
      </c>
      <c r="H65">
        <v>699</v>
      </c>
      <c r="I65">
        <v>2</v>
      </c>
      <c r="J65">
        <v>1398</v>
      </c>
      <c r="K65" t="s">
        <v>110</v>
      </c>
      <c r="L65">
        <v>10</v>
      </c>
      <c r="M65" t="s">
        <v>111</v>
      </c>
      <c r="N65" t="s">
        <v>65</v>
      </c>
      <c r="O65" t="s">
        <v>84</v>
      </c>
      <c r="P65" t="s">
        <v>32</v>
      </c>
      <c r="Q65" t="s">
        <v>31</v>
      </c>
      <c r="R65" s="1" t="d">
        <v>2024-10-25</v>
      </c>
      <c r="S65" t="s">
        <v>33</v>
      </c>
      <c r="T65" t="s">
        <v>34</v>
      </c>
      <c r="W65" t="s">
        <v>35</v>
      </c>
    </row>
    <row r="66" spans="1:23">
      <c r="A66" t="s">
        <v>351</v>
      </c>
      <c r="B66" s="1" t="d">
        <v>2024-10-16</v>
      </c>
      <c r="C66" t="s">
        <v>352</v>
      </c>
      <c r="D66" t="s">
        <v>25</v>
      </c>
      <c r="E66" t="s">
        <v>353</v>
      </c>
      <c r="F66" t="s">
        <v>53</v>
      </c>
      <c r="G66" t="s">
        <v>354</v>
      </c>
      <c r="H66">
        <v>2199</v>
      </c>
      <c r="I66">
        <v>1</v>
      </c>
      <c r="J66">
        <v>2199</v>
      </c>
      <c r="L66">
        <v>0</v>
      </c>
      <c r="M66" t="s">
        <v>55</v>
      </c>
      <c r="N66" t="s">
        <v>44</v>
      </c>
      <c r="O66" t="s">
        <v>96</v>
      </c>
      <c r="P66" t="s">
        <v>97</v>
      </c>
      <c r="Q66" t="s">
        <v>31</v>
      </c>
      <c r="R66" s="1" t="d">
        <v>2024-10-28</v>
      </c>
      <c r="S66" t="s">
        <v>33</v>
      </c>
      <c r="T66" t="s">
        <v>46</v>
      </c>
      <c r="U66" t="s">
        <v>47</v>
      </c>
      <c r="V66" s="1" t="d">
        <v>2024-11-25</v>
      </c>
      <c r="W66" t="s">
        <v>48</v>
      </c>
    </row>
    <row r="67" spans="1:23">
      <c r="A67" t="s">
        <v>355</v>
      </c>
      <c r="B67" s="1" t="d">
        <v>2024-10-16</v>
      </c>
      <c r="C67" t="s">
        <v>356</v>
      </c>
      <c r="D67" t="s">
        <v>38</v>
      </c>
      <c r="E67" t="s">
        <v>357</v>
      </c>
      <c r="F67" t="s">
        <v>40</v>
      </c>
      <c r="G67" t="s">
        <v>358</v>
      </c>
      <c r="H67">
        <v>2499</v>
      </c>
      <c r="I67">
        <v>1</v>
      </c>
      <c r="J67">
        <v>2499</v>
      </c>
      <c r="L67">
        <v>0</v>
      </c>
      <c r="M67" t="s">
        <v>43</v>
      </c>
      <c r="N67" t="s">
        <v>30</v>
      </c>
      <c r="O67" t="s">
        <v>102</v>
      </c>
      <c r="P67" t="s">
        <v>103</v>
      </c>
      <c r="Q67" t="s">
        <v>45</v>
      </c>
      <c r="R67" s="1" t="d">
        <v>2024-10-26</v>
      </c>
      <c r="S67" t="s">
        <v>33</v>
      </c>
      <c r="T67" t="s">
        <v>34</v>
      </c>
      <c r="W67" t="s">
        <v>35</v>
      </c>
    </row>
    <row r="68" spans="1:23">
      <c r="A68" t="s">
        <v>359</v>
      </c>
      <c r="B68" s="1" t="d">
        <v>2024-10-16</v>
      </c>
      <c r="C68" t="s">
        <v>360</v>
      </c>
      <c r="D68" t="s">
        <v>25</v>
      </c>
      <c r="E68" t="s">
        <v>361</v>
      </c>
      <c r="F68" t="s">
        <v>27</v>
      </c>
      <c r="G68" t="s">
        <v>362</v>
      </c>
      <c r="H68">
        <v>1899</v>
      </c>
      <c r="I68">
        <v>1</v>
      </c>
      <c r="J68">
        <v>1899</v>
      </c>
      <c r="K68" t="s">
        <v>42</v>
      </c>
      <c r="L68">
        <v>20</v>
      </c>
      <c r="M68" t="s">
        <v>29</v>
      </c>
      <c r="N68" t="s">
        <v>65</v>
      </c>
      <c r="O68" t="s">
        <v>112</v>
      </c>
      <c r="P68" t="s">
        <v>113</v>
      </c>
      <c r="Q68" t="s">
        <v>45</v>
      </c>
      <c r="R68" s="1" t="d">
        <v>2024-10-27</v>
      </c>
      <c r="S68" t="s">
        <v>33</v>
      </c>
      <c r="T68" t="s">
        <v>46</v>
      </c>
      <c r="U68" t="s">
        <v>79</v>
      </c>
      <c r="V68" s="1" t="d">
        <v>2024-11-20</v>
      </c>
      <c r="W68" t="s">
        <v>48</v>
      </c>
    </row>
    <row r="69" spans="1:23">
      <c r="A69" t="s">
        <v>363</v>
      </c>
      <c r="B69" s="1" t="d">
        <v>2024-10-17</v>
      </c>
      <c r="C69" t="s">
        <v>364</v>
      </c>
      <c r="D69" t="s">
        <v>25</v>
      </c>
      <c r="E69" t="s">
        <v>365</v>
      </c>
      <c r="F69" t="s">
        <v>61</v>
      </c>
      <c r="G69" t="s">
        <v>366</v>
      </c>
      <c r="H69">
        <v>1299</v>
      </c>
      <c r="I69">
        <v>1</v>
      </c>
      <c r="J69">
        <v>1299</v>
      </c>
      <c r="L69">
        <v>0</v>
      </c>
      <c r="M69" t="s">
        <v>64</v>
      </c>
      <c r="N69" t="s">
        <v>44</v>
      </c>
      <c r="O69" t="s">
        <v>56</v>
      </c>
      <c r="P69" t="s">
        <v>57</v>
      </c>
      <c r="Q69" t="s">
        <v>56</v>
      </c>
      <c r="R69" s="1" t="d">
        <v>2024-10-28</v>
      </c>
      <c r="S69" t="s">
        <v>33</v>
      </c>
      <c r="T69" t="s">
        <v>34</v>
      </c>
      <c r="W69" t="s">
        <v>35</v>
      </c>
    </row>
    <row r="70" spans="1:23">
      <c r="A70" t="s">
        <v>367</v>
      </c>
      <c r="B70" s="1" t="d">
        <v>2024-10-17</v>
      </c>
      <c r="C70" t="s">
        <v>368</v>
      </c>
      <c r="D70" t="s">
        <v>25</v>
      </c>
      <c r="E70" t="s">
        <v>369</v>
      </c>
      <c r="F70" t="s">
        <v>71</v>
      </c>
      <c r="G70" t="s">
        <v>370</v>
      </c>
      <c r="H70">
        <v>1599</v>
      </c>
      <c r="I70">
        <v>1</v>
      </c>
      <c r="J70">
        <v>1599</v>
      </c>
      <c r="L70">
        <v>0</v>
      </c>
      <c r="M70" t="s">
        <v>43</v>
      </c>
      <c r="N70" t="s">
        <v>30</v>
      </c>
      <c r="O70" t="s">
        <v>31</v>
      </c>
      <c r="P70" t="s">
        <v>32</v>
      </c>
      <c r="Q70" t="s">
        <v>31</v>
      </c>
      <c r="R70" s="1" t="d">
        <v>2024-10-27</v>
      </c>
      <c r="S70" t="s">
        <v>33</v>
      </c>
      <c r="T70" t="s">
        <v>46</v>
      </c>
      <c r="U70" t="s">
        <v>138</v>
      </c>
      <c r="V70" s="1" t="d">
        <v>2024-11-22</v>
      </c>
      <c r="W70" t="s">
        <v>48</v>
      </c>
    </row>
    <row r="71" spans="1:23">
      <c r="A71" t="s">
        <v>371</v>
      </c>
      <c r="B71" s="1" t="d">
        <v>2024-10-17</v>
      </c>
      <c r="C71" t="s">
        <v>372</v>
      </c>
      <c r="D71" t="s">
        <v>38</v>
      </c>
      <c r="E71" t="s">
        <v>373</v>
      </c>
      <c r="F71" t="s">
        <v>53</v>
      </c>
      <c r="G71" t="s">
        <v>374</v>
      </c>
      <c r="H71">
        <v>2099</v>
      </c>
      <c r="I71">
        <v>1</v>
      </c>
      <c r="J71">
        <v>2099</v>
      </c>
      <c r="K71" t="s">
        <v>63</v>
      </c>
      <c r="L71">
        <v>15</v>
      </c>
      <c r="M71" t="s">
        <v>29</v>
      </c>
      <c r="N71" t="s">
        <v>65</v>
      </c>
      <c r="O71" t="s">
        <v>45</v>
      </c>
      <c r="P71" t="s">
        <v>45</v>
      </c>
      <c r="Q71" t="s">
        <v>45</v>
      </c>
      <c r="R71" s="1" t="d">
        <v>2024-10-29</v>
      </c>
      <c r="S71" t="s">
        <v>33</v>
      </c>
      <c r="T71" t="s">
        <v>34</v>
      </c>
      <c r="W71" t="s">
        <v>35</v>
      </c>
    </row>
    <row r="72" spans="1:23">
      <c r="A72" t="s">
        <v>375</v>
      </c>
      <c r="B72" s="1" t="d">
        <v>2024-10-17</v>
      </c>
      <c r="C72" t="s">
        <v>376</v>
      </c>
      <c r="D72" t="s">
        <v>25</v>
      </c>
      <c r="E72" t="s">
        <v>377</v>
      </c>
      <c r="F72" t="s">
        <v>40</v>
      </c>
      <c r="G72" t="s">
        <v>378</v>
      </c>
      <c r="H72">
        <v>2299</v>
      </c>
      <c r="I72">
        <v>1</v>
      </c>
      <c r="J72">
        <v>2299</v>
      </c>
      <c r="L72">
        <v>0</v>
      </c>
      <c r="M72" t="s">
        <v>55</v>
      </c>
      <c r="N72" t="s">
        <v>44</v>
      </c>
      <c r="O72" t="s">
        <v>118</v>
      </c>
      <c r="P72" t="s">
        <v>119</v>
      </c>
      <c r="Q72" t="s">
        <v>45</v>
      </c>
      <c r="S72" t="s">
        <v>120</v>
      </c>
      <c r="T72" t="s">
        <v>34</v>
      </c>
      <c r="W72" t="s">
        <v>35</v>
      </c>
    </row>
    <row r="73" spans="1:23">
      <c r="A73" t="s">
        <v>379</v>
      </c>
      <c r="B73" s="1" t="d">
        <v>2024-10-18</v>
      </c>
      <c r="C73" t="s">
        <v>380</v>
      </c>
      <c r="D73" t="s">
        <v>25</v>
      </c>
      <c r="E73" t="s">
        <v>381</v>
      </c>
      <c r="F73" t="s">
        <v>27</v>
      </c>
      <c r="G73" t="s">
        <v>382</v>
      </c>
      <c r="H73">
        <v>1199</v>
      </c>
      <c r="I73">
        <v>2</v>
      </c>
      <c r="J73">
        <v>2398</v>
      </c>
      <c r="L73">
        <v>0</v>
      </c>
      <c r="M73" t="s">
        <v>111</v>
      </c>
      <c r="N73" t="s">
        <v>30</v>
      </c>
      <c r="O73" t="s">
        <v>137</v>
      </c>
      <c r="P73" t="s">
        <v>113</v>
      </c>
      <c r="Q73" t="s">
        <v>45</v>
      </c>
      <c r="R73" s="1" t="d">
        <v>2024-10-28</v>
      </c>
      <c r="S73" t="s">
        <v>33</v>
      </c>
      <c r="T73" t="s">
        <v>34</v>
      </c>
      <c r="W73" t="s">
        <v>35</v>
      </c>
    </row>
    <row r="74" spans="1:23">
      <c r="A74" t="s">
        <v>383</v>
      </c>
      <c r="B74" s="1" t="d">
        <v>2024-10-18</v>
      </c>
      <c r="C74" t="s">
        <v>384</v>
      </c>
      <c r="D74" t="s">
        <v>25</v>
      </c>
      <c r="E74" t="s">
        <v>385</v>
      </c>
      <c r="F74" t="s">
        <v>61</v>
      </c>
      <c r="G74" t="s">
        <v>386</v>
      </c>
      <c r="H74">
        <v>2599</v>
      </c>
      <c r="I74">
        <v>1</v>
      </c>
      <c r="J74">
        <v>2599</v>
      </c>
      <c r="K74" t="s">
        <v>42</v>
      </c>
      <c r="L74">
        <v>20</v>
      </c>
      <c r="M74" t="s">
        <v>43</v>
      </c>
      <c r="N74" t="s">
        <v>65</v>
      </c>
      <c r="O74" t="s">
        <v>143</v>
      </c>
      <c r="P74" t="s">
        <v>144</v>
      </c>
      <c r="Q74" t="s">
        <v>45</v>
      </c>
      <c r="R74" s="1" t="d">
        <v>2024-10-30</v>
      </c>
      <c r="S74" t="s">
        <v>33</v>
      </c>
      <c r="T74" t="s">
        <v>46</v>
      </c>
      <c r="U74" t="s">
        <v>47</v>
      </c>
      <c r="V74" s="1" t="d">
        <v>2024-11-26</v>
      </c>
      <c r="W74" t="s">
        <v>48</v>
      </c>
    </row>
    <row r="75" spans="1:23">
      <c r="A75" t="s">
        <v>387</v>
      </c>
      <c r="B75" s="1" t="d">
        <v>2024-10-18</v>
      </c>
      <c r="C75" t="s">
        <v>388</v>
      </c>
      <c r="D75" t="s">
        <v>38</v>
      </c>
      <c r="E75" t="s">
        <v>389</v>
      </c>
      <c r="F75" t="s">
        <v>71</v>
      </c>
      <c r="G75" t="s">
        <v>390</v>
      </c>
      <c r="H75">
        <v>299</v>
      </c>
      <c r="I75">
        <v>5</v>
      </c>
      <c r="J75">
        <v>1495</v>
      </c>
      <c r="L75">
        <v>0</v>
      </c>
      <c r="M75" t="s">
        <v>29</v>
      </c>
      <c r="N75" t="s">
        <v>44</v>
      </c>
      <c r="O75" t="s">
        <v>150</v>
      </c>
      <c r="P75" t="s">
        <v>151</v>
      </c>
      <c r="Q75" t="s">
        <v>31</v>
      </c>
      <c r="R75" s="1" t="d">
        <v>2024-10-27</v>
      </c>
      <c r="S75" t="s">
        <v>33</v>
      </c>
      <c r="T75" t="s">
        <v>34</v>
      </c>
      <c r="W75" t="s">
        <v>35</v>
      </c>
    </row>
    <row r="76" spans="1:23">
      <c r="A76" t="s">
        <v>391</v>
      </c>
      <c r="B76" s="1" t="d">
        <v>2024-10-18</v>
      </c>
      <c r="C76" t="s">
        <v>392</v>
      </c>
      <c r="D76" t="s">
        <v>25</v>
      </c>
      <c r="E76" t="s">
        <v>393</v>
      </c>
      <c r="F76" t="s">
        <v>53</v>
      </c>
      <c r="G76" t="s">
        <v>394</v>
      </c>
      <c r="H76">
        <v>1899</v>
      </c>
      <c r="I76">
        <v>1</v>
      </c>
      <c r="J76">
        <v>1899</v>
      </c>
      <c r="L76">
        <v>0</v>
      </c>
      <c r="M76" t="s">
        <v>64</v>
      </c>
      <c r="N76" t="s">
        <v>30</v>
      </c>
      <c r="O76" t="s">
        <v>156</v>
      </c>
      <c r="P76" t="s">
        <v>97</v>
      </c>
      <c r="Q76" t="s">
        <v>31</v>
      </c>
      <c r="R76" s="1" t="d">
        <v>2024-10-30</v>
      </c>
      <c r="S76" t="s">
        <v>33</v>
      </c>
      <c r="T76" t="s">
        <v>46</v>
      </c>
      <c r="U76" t="s">
        <v>104</v>
      </c>
      <c r="V76" s="1" t="d">
        <v>2024-11-28</v>
      </c>
      <c r="W76" t="s">
        <v>48</v>
      </c>
    </row>
    <row r="77" spans="1:23">
      <c r="A77" t="s">
        <v>395</v>
      </c>
      <c r="B77" s="1" t="d">
        <v>2024-10-19</v>
      </c>
      <c r="C77" t="s">
        <v>396</v>
      </c>
      <c r="D77" t="s">
        <v>25</v>
      </c>
      <c r="E77" t="s">
        <v>397</v>
      </c>
      <c r="F77" t="s">
        <v>40</v>
      </c>
      <c r="G77" t="s">
        <v>398</v>
      </c>
      <c r="H77">
        <v>2199</v>
      </c>
      <c r="I77">
        <v>1</v>
      </c>
      <c r="J77">
        <v>2199</v>
      </c>
      <c r="L77">
        <v>0</v>
      </c>
      <c r="M77" t="s">
        <v>43</v>
      </c>
      <c r="N77" t="s">
        <v>65</v>
      </c>
      <c r="O77" t="s">
        <v>161</v>
      </c>
      <c r="P77" t="s">
        <v>162</v>
      </c>
      <c r="Q77" t="s">
        <v>45</v>
      </c>
      <c r="R77" s="1" t="d">
        <v>2024-10-31</v>
      </c>
      <c r="S77" t="s">
        <v>33</v>
      </c>
      <c r="T77" t="s">
        <v>34</v>
      </c>
      <c r="W77" t="s">
        <v>35</v>
      </c>
    </row>
    <row r="78" spans="1:23">
      <c r="A78" t="s">
        <v>399</v>
      </c>
      <c r="B78" s="1" t="d">
        <v>2024-10-19</v>
      </c>
      <c r="C78" t="s">
        <v>400</v>
      </c>
      <c r="D78" t="s">
        <v>25</v>
      </c>
      <c r="E78" t="s">
        <v>401</v>
      </c>
      <c r="F78" t="s">
        <v>27</v>
      </c>
      <c r="G78" t="s">
        <v>402</v>
      </c>
      <c r="H78">
        <v>1799</v>
      </c>
      <c r="I78">
        <v>1</v>
      </c>
      <c r="J78">
        <v>1799</v>
      </c>
      <c r="K78" t="s">
        <v>110</v>
      </c>
      <c r="L78">
        <v>10</v>
      </c>
      <c r="M78" t="s">
        <v>55</v>
      </c>
      <c r="N78" t="s">
        <v>44</v>
      </c>
      <c r="O78" t="s">
        <v>167</v>
      </c>
      <c r="P78" t="s">
        <v>151</v>
      </c>
      <c r="Q78" t="s">
        <v>31</v>
      </c>
      <c r="R78" s="1" t="d">
        <v>2024-10-29</v>
      </c>
      <c r="S78" t="s">
        <v>33</v>
      </c>
      <c r="T78" t="s">
        <v>46</v>
      </c>
      <c r="U78" t="s">
        <v>68</v>
      </c>
      <c r="V78" s="1" t="d">
        <v>2024-11-25</v>
      </c>
      <c r="W78" t="s">
        <v>48</v>
      </c>
    </row>
    <row r="79" spans="1:23">
      <c r="A79" t="s">
        <v>403</v>
      </c>
      <c r="B79" s="1" t="d">
        <v>2024-10-19</v>
      </c>
      <c r="C79" t="s">
        <v>404</v>
      </c>
      <c r="D79" t="s">
        <v>38</v>
      </c>
      <c r="E79" t="s">
        <v>405</v>
      </c>
      <c r="F79" t="s">
        <v>61</v>
      </c>
      <c r="G79" t="s">
        <v>406</v>
      </c>
      <c r="H79">
        <v>4999</v>
      </c>
      <c r="I79">
        <v>1</v>
      </c>
      <c r="J79">
        <v>4999</v>
      </c>
      <c r="L79">
        <v>0</v>
      </c>
      <c r="M79" t="s">
        <v>29</v>
      </c>
      <c r="N79" t="s">
        <v>30</v>
      </c>
      <c r="O79" t="s">
        <v>172</v>
      </c>
      <c r="P79" t="s">
        <v>32</v>
      </c>
      <c r="Q79" t="s">
        <v>31</v>
      </c>
      <c r="R79" s="1" t="d">
        <v>2024-11-01</v>
      </c>
      <c r="S79" t="s">
        <v>33</v>
      </c>
      <c r="T79" t="s">
        <v>34</v>
      </c>
      <c r="W79" t="s">
        <v>35</v>
      </c>
    </row>
    <row r="80" spans="1:23">
      <c r="A80" t="s">
        <v>407</v>
      </c>
      <c r="B80" s="1" t="d">
        <v>2024-10-19</v>
      </c>
      <c r="C80" t="s">
        <v>408</v>
      </c>
      <c r="D80" t="s">
        <v>25</v>
      </c>
      <c r="E80" t="s">
        <v>409</v>
      </c>
      <c r="F80" t="s">
        <v>71</v>
      </c>
      <c r="G80" t="s">
        <v>410</v>
      </c>
      <c r="H80">
        <v>999</v>
      </c>
      <c r="I80">
        <v>1</v>
      </c>
      <c r="J80">
        <v>999</v>
      </c>
      <c r="L80">
        <v>0</v>
      </c>
      <c r="M80" t="s">
        <v>111</v>
      </c>
      <c r="N80" t="s">
        <v>65</v>
      </c>
      <c r="O80" t="s">
        <v>177</v>
      </c>
      <c r="P80" t="s">
        <v>67</v>
      </c>
      <c r="Q80" t="s">
        <v>56</v>
      </c>
      <c r="R80" s="1" t="d">
        <v>2024-10-30</v>
      </c>
      <c r="S80" t="s">
        <v>33</v>
      </c>
      <c r="T80" t="s">
        <v>46</v>
      </c>
      <c r="U80" t="s">
        <v>47</v>
      </c>
      <c r="V80" s="1" t="d">
        <v>2024-11-28</v>
      </c>
      <c r="W80" t="s">
        <v>48</v>
      </c>
    </row>
    <row r="81" spans="1:23">
      <c r="A81" t="s">
        <v>411</v>
      </c>
      <c r="B81" s="1" t="d">
        <v>2024-10-20</v>
      </c>
      <c r="C81" t="s">
        <v>412</v>
      </c>
      <c r="D81" t="s">
        <v>25</v>
      </c>
      <c r="E81" t="s">
        <v>413</v>
      </c>
      <c r="F81" t="s">
        <v>53</v>
      </c>
      <c r="G81" t="s">
        <v>414</v>
      </c>
      <c r="H81">
        <v>1499</v>
      </c>
      <c r="I81">
        <v>1</v>
      </c>
      <c r="J81">
        <v>1499</v>
      </c>
      <c r="K81" t="s">
        <v>42</v>
      </c>
      <c r="L81">
        <v>20</v>
      </c>
      <c r="M81" t="s">
        <v>43</v>
      </c>
      <c r="N81" t="s">
        <v>44</v>
      </c>
      <c r="O81" t="s">
        <v>182</v>
      </c>
      <c r="P81" t="s">
        <v>183</v>
      </c>
      <c r="Q81" t="s">
        <v>56</v>
      </c>
      <c r="R81" s="1" t="d">
        <v>2024-10-31</v>
      </c>
      <c r="S81" t="s">
        <v>33</v>
      </c>
      <c r="T81" t="s">
        <v>34</v>
      </c>
      <c r="W81" t="s">
        <v>35</v>
      </c>
    </row>
    <row r="82" spans="1:23">
      <c r="A82" t="s">
        <v>415</v>
      </c>
      <c r="B82" s="1" t="d">
        <v>2024-10-20</v>
      </c>
      <c r="C82" t="s">
        <v>416</v>
      </c>
      <c r="D82" t="s">
        <v>25</v>
      </c>
      <c r="E82" t="s">
        <v>417</v>
      </c>
      <c r="F82" t="s">
        <v>40</v>
      </c>
      <c r="G82" t="s">
        <v>418</v>
      </c>
      <c r="H82">
        <v>2899</v>
      </c>
      <c r="I82">
        <v>1</v>
      </c>
      <c r="J82">
        <v>2899</v>
      </c>
      <c r="L82">
        <v>0</v>
      </c>
      <c r="M82" t="s">
        <v>64</v>
      </c>
      <c r="N82" t="s">
        <v>30</v>
      </c>
      <c r="O82" t="s">
        <v>188</v>
      </c>
      <c r="P82" t="s">
        <v>189</v>
      </c>
      <c r="Q82" t="s">
        <v>56</v>
      </c>
      <c r="R82" s="1" t="d">
        <v>2024-11-02</v>
      </c>
      <c r="S82" t="s">
        <v>33</v>
      </c>
      <c r="T82" t="s">
        <v>46</v>
      </c>
      <c r="U82" t="s">
        <v>79</v>
      </c>
      <c r="V82" s="1" t="d">
        <v>2024-11-30</v>
      </c>
      <c r="W82" t="s">
        <v>48</v>
      </c>
    </row>
    <row r="83" spans="1:23">
      <c r="A83" t="s">
        <v>419</v>
      </c>
      <c r="B83" s="1" t="d">
        <v>2024-10-20</v>
      </c>
      <c r="C83" t="s">
        <v>420</v>
      </c>
      <c r="D83" t="s">
        <v>38</v>
      </c>
      <c r="E83" t="s">
        <v>421</v>
      </c>
      <c r="F83" t="s">
        <v>27</v>
      </c>
      <c r="G83" t="s">
        <v>422</v>
      </c>
      <c r="H83">
        <v>1099</v>
      </c>
      <c r="I83">
        <v>2</v>
      </c>
      <c r="J83">
        <v>2198</v>
      </c>
      <c r="L83">
        <v>0</v>
      </c>
      <c r="M83" t="s">
        <v>29</v>
      </c>
      <c r="N83" t="s">
        <v>65</v>
      </c>
      <c r="O83" t="s">
        <v>194</v>
      </c>
      <c r="P83" t="s">
        <v>183</v>
      </c>
      <c r="Q83" t="s">
        <v>56</v>
      </c>
      <c r="R83" s="1" t="d">
        <v>2024-10-30</v>
      </c>
      <c r="S83" t="s">
        <v>33</v>
      </c>
      <c r="T83" t="s">
        <v>34</v>
      </c>
      <c r="W83" t="s">
        <v>35</v>
      </c>
    </row>
    <row r="84" spans="1:23">
      <c r="A84" t="s">
        <v>423</v>
      </c>
      <c r="B84" s="1" t="d">
        <v>2024-10-20</v>
      </c>
      <c r="C84" t="s">
        <v>424</v>
      </c>
      <c r="D84" t="s">
        <v>25</v>
      </c>
      <c r="E84" t="s">
        <v>425</v>
      </c>
      <c r="F84" t="s">
        <v>61</v>
      </c>
      <c r="G84" t="s">
        <v>198</v>
      </c>
      <c r="H84">
        <v>5499</v>
      </c>
      <c r="I84">
        <v>1</v>
      </c>
      <c r="J84">
        <v>5499</v>
      </c>
      <c r="K84" t="s">
        <v>63</v>
      </c>
      <c r="L84">
        <v>15</v>
      </c>
      <c r="M84" t="s">
        <v>43</v>
      </c>
      <c r="N84" t="s">
        <v>44</v>
      </c>
      <c r="O84" t="s">
        <v>199</v>
      </c>
      <c r="P84" t="s">
        <v>57</v>
      </c>
      <c r="Q84" t="s">
        <v>56</v>
      </c>
      <c r="R84" s="1" t="d">
        <v>2024-11-03</v>
      </c>
      <c r="S84" t="s">
        <v>33</v>
      </c>
      <c r="T84" t="s">
        <v>46</v>
      </c>
      <c r="U84" t="s">
        <v>47</v>
      </c>
      <c r="V84" s="1" t="d">
        <v>2024-12-01</v>
      </c>
      <c r="W84" t="s">
        <v>48</v>
      </c>
    </row>
    <row r="85" spans="1:23">
      <c r="A85" t="s">
        <v>426</v>
      </c>
      <c r="B85" s="1" t="d">
        <v>2024-10-21</v>
      </c>
      <c r="C85" t="s">
        <v>427</v>
      </c>
      <c r="D85" t="s">
        <v>25</v>
      </c>
      <c r="E85" t="s">
        <v>428</v>
      </c>
      <c r="F85" t="s">
        <v>71</v>
      </c>
      <c r="G85" t="s">
        <v>429</v>
      </c>
      <c r="H85">
        <v>799</v>
      </c>
      <c r="I85">
        <v>1</v>
      </c>
      <c r="J85">
        <v>799</v>
      </c>
      <c r="L85">
        <v>0</v>
      </c>
      <c r="M85" t="s">
        <v>55</v>
      </c>
      <c r="N85" t="s">
        <v>30</v>
      </c>
      <c r="O85" t="s">
        <v>204</v>
      </c>
      <c r="P85" t="s">
        <v>97</v>
      </c>
      <c r="Q85" t="s">
        <v>31</v>
      </c>
      <c r="S85" t="s">
        <v>120</v>
      </c>
      <c r="T85" t="s">
        <v>34</v>
      </c>
      <c r="W85" t="s">
        <v>35</v>
      </c>
    </row>
    <row r="86" spans="1:23">
      <c r="A86" t="s">
        <v>430</v>
      </c>
      <c r="B86" s="1" t="d">
        <v>2024-10-21</v>
      </c>
      <c r="C86" t="s">
        <v>431</v>
      </c>
      <c r="D86" t="s">
        <v>25</v>
      </c>
      <c r="E86" t="s">
        <v>432</v>
      </c>
      <c r="F86" t="s">
        <v>53</v>
      </c>
      <c r="G86" t="s">
        <v>433</v>
      </c>
      <c r="H86">
        <v>1599</v>
      </c>
      <c r="I86">
        <v>1</v>
      </c>
      <c r="J86">
        <v>1599</v>
      </c>
      <c r="L86">
        <v>0</v>
      </c>
      <c r="M86" t="s">
        <v>111</v>
      </c>
      <c r="N86" t="s">
        <v>65</v>
      </c>
      <c r="O86" t="s">
        <v>209</v>
      </c>
      <c r="P86" t="s">
        <v>97</v>
      </c>
      <c r="Q86" t="s">
        <v>31</v>
      </c>
      <c r="R86" s="1" t="d">
        <v>2024-11-02</v>
      </c>
      <c r="S86" t="s">
        <v>33</v>
      </c>
      <c r="T86" t="s">
        <v>34</v>
      </c>
      <c r="W86" t="s">
        <v>35</v>
      </c>
    </row>
    <row r="87" spans="1:23">
      <c r="A87" t="s">
        <v>434</v>
      </c>
      <c r="B87" s="1" t="d">
        <v>2024-10-21</v>
      </c>
      <c r="C87" t="s">
        <v>435</v>
      </c>
      <c r="D87" t="s">
        <v>38</v>
      </c>
      <c r="E87" t="s">
        <v>436</v>
      </c>
      <c r="F87" t="s">
        <v>40</v>
      </c>
      <c r="G87" t="s">
        <v>437</v>
      </c>
      <c r="H87">
        <v>2699</v>
      </c>
      <c r="I87">
        <v>1</v>
      </c>
      <c r="J87">
        <v>2699</v>
      </c>
      <c r="K87" t="s">
        <v>42</v>
      </c>
      <c r="L87">
        <v>20</v>
      </c>
      <c r="M87" t="s">
        <v>43</v>
      </c>
      <c r="N87" t="s">
        <v>44</v>
      </c>
      <c r="O87" t="s">
        <v>214</v>
      </c>
      <c r="P87" t="s">
        <v>113</v>
      </c>
      <c r="Q87" t="s">
        <v>45</v>
      </c>
      <c r="R87" s="1" t="d">
        <v>2024-11-01</v>
      </c>
      <c r="S87" t="s">
        <v>33</v>
      </c>
      <c r="T87" t="s">
        <v>46</v>
      </c>
      <c r="U87" t="s">
        <v>68</v>
      </c>
      <c r="V87" s="1" t="d">
        <v>2024-11-30</v>
      </c>
      <c r="W87" t="s">
        <v>48</v>
      </c>
    </row>
    <row r="88" spans="1:23">
      <c r="A88" t="s">
        <v>438</v>
      </c>
      <c r="B88" s="1" t="d">
        <v>2024-10-21</v>
      </c>
      <c r="C88" t="s">
        <v>439</v>
      </c>
      <c r="D88" t="s">
        <v>25</v>
      </c>
      <c r="E88" t="s">
        <v>440</v>
      </c>
      <c r="F88" t="s">
        <v>27</v>
      </c>
      <c r="G88" t="s">
        <v>441</v>
      </c>
      <c r="H88">
        <v>1499</v>
      </c>
      <c r="I88">
        <v>1</v>
      </c>
      <c r="J88">
        <v>1499</v>
      </c>
      <c r="L88">
        <v>0</v>
      </c>
      <c r="M88" t="s">
        <v>29</v>
      </c>
      <c r="N88" t="s">
        <v>30</v>
      </c>
      <c r="O88" t="s">
        <v>31</v>
      </c>
      <c r="P88" t="s">
        <v>32</v>
      </c>
      <c r="Q88" t="s">
        <v>31</v>
      </c>
      <c r="R88" s="1" t="d">
        <v>2024-11-02</v>
      </c>
      <c r="S88" t="s">
        <v>33</v>
      </c>
      <c r="T88" t="s">
        <v>34</v>
      </c>
      <c r="W88" t="s">
        <v>35</v>
      </c>
    </row>
    <row r="89" spans="1:23">
      <c r="A89" t="s">
        <v>442</v>
      </c>
      <c r="B89" s="1" t="d">
        <v>2024-10-22</v>
      </c>
      <c r="C89" t="s">
        <v>443</v>
      </c>
      <c r="D89" t="s">
        <v>25</v>
      </c>
      <c r="E89" t="s">
        <v>444</v>
      </c>
      <c r="F89" t="s">
        <v>61</v>
      </c>
      <c r="G89" t="s">
        <v>445</v>
      </c>
      <c r="H89">
        <v>3299</v>
      </c>
      <c r="I89">
        <v>1</v>
      </c>
      <c r="J89">
        <v>3299</v>
      </c>
      <c r="L89">
        <v>0</v>
      </c>
      <c r="M89" t="s">
        <v>64</v>
      </c>
      <c r="N89" t="s">
        <v>65</v>
      </c>
      <c r="O89" t="s">
        <v>45</v>
      </c>
      <c r="P89" t="s">
        <v>45</v>
      </c>
      <c r="Q89" t="s">
        <v>45</v>
      </c>
      <c r="R89" s="1" t="d">
        <v>2024-11-04</v>
      </c>
      <c r="S89" t="s">
        <v>33</v>
      </c>
      <c r="T89" t="s">
        <v>46</v>
      </c>
      <c r="U89" t="s">
        <v>104</v>
      </c>
      <c r="V89" s="1" t="d">
        <v>2024-12-03</v>
      </c>
      <c r="W89" t="s">
        <v>48</v>
      </c>
    </row>
    <row r="90" spans="1:23">
      <c r="A90" t="s">
        <v>446</v>
      </c>
      <c r="B90" s="1" t="d">
        <v>2024-10-22</v>
      </c>
      <c r="C90" t="s">
        <v>447</v>
      </c>
      <c r="D90" t="s">
        <v>25</v>
      </c>
      <c r="E90" t="s">
        <v>448</v>
      </c>
      <c r="F90" t="s">
        <v>71</v>
      </c>
      <c r="G90" t="s">
        <v>449</v>
      </c>
      <c r="H90">
        <v>499</v>
      </c>
      <c r="I90">
        <v>2</v>
      </c>
      <c r="J90">
        <v>998</v>
      </c>
      <c r="K90" t="s">
        <v>110</v>
      </c>
      <c r="L90">
        <v>10</v>
      </c>
      <c r="M90" t="s">
        <v>43</v>
      </c>
      <c r="N90" t="s">
        <v>44</v>
      </c>
      <c r="O90" t="s">
        <v>90</v>
      </c>
      <c r="P90" t="s">
        <v>91</v>
      </c>
      <c r="Q90" t="s">
        <v>45</v>
      </c>
      <c r="R90" s="1" t="d">
        <v>2024-11-01</v>
      </c>
      <c r="S90" t="s">
        <v>33</v>
      </c>
      <c r="T90" t="s">
        <v>34</v>
      </c>
      <c r="W90" t="s">
        <v>35</v>
      </c>
    </row>
    <row r="91" spans="1:23">
      <c r="A91" t="s">
        <v>450</v>
      </c>
      <c r="B91" s="1" t="d">
        <v>2024-10-22</v>
      </c>
      <c r="C91" t="s">
        <v>451</v>
      </c>
      <c r="D91" t="s">
        <v>38</v>
      </c>
      <c r="E91" t="s">
        <v>452</v>
      </c>
      <c r="F91" t="s">
        <v>53</v>
      </c>
      <c r="G91" t="s">
        <v>453</v>
      </c>
      <c r="H91">
        <v>2399</v>
      </c>
      <c r="I91">
        <v>1</v>
      </c>
      <c r="J91">
        <v>2399</v>
      </c>
      <c r="L91">
        <v>0</v>
      </c>
      <c r="M91" t="s">
        <v>29</v>
      </c>
      <c r="N91" t="s">
        <v>30</v>
      </c>
      <c r="O91" t="s">
        <v>66</v>
      </c>
      <c r="P91" t="s">
        <v>67</v>
      </c>
      <c r="Q91" t="s">
        <v>56</v>
      </c>
      <c r="R91" s="1" t="d">
        <v>2024-11-03</v>
      </c>
      <c r="S91" t="s">
        <v>33</v>
      </c>
      <c r="T91" t="s">
        <v>34</v>
      </c>
      <c r="W91" t="s">
        <v>35</v>
      </c>
    </row>
    <row r="92" spans="1:23">
      <c r="A92" t="s">
        <v>454</v>
      </c>
      <c r="B92" s="1" t="d">
        <v>2024-10-22</v>
      </c>
      <c r="C92" t="s">
        <v>455</v>
      </c>
      <c r="D92" t="s">
        <v>25</v>
      </c>
      <c r="E92" t="s">
        <v>456</v>
      </c>
      <c r="F92" t="s">
        <v>40</v>
      </c>
      <c r="G92" t="s">
        <v>457</v>
      </c>
      <c r="H92">
        <v>2599</v>
      </c>
      <c r="I92">
        <v>1</v>
      </c>
      <c r="J92">
        <v>2599</v>
      </c>
      <c r="L92">
        <v>0</v>
      </c>
      <c r="M92" t="s">
        <v>55</v>
      </c>
      <c r="N92" t="s">
        <v>65</v>
      </c>
      <c r="O92" t="s">
        <v>77</v>
      </c>
      <c r="P92" t="s">
        <v>78</v>
      </c>
      <c r="Q92" t="s">
        <v>56</v>
      </c>
      <c r="S92" t="s">
        <v>120</v>
      </c>
      <c r="T92" t="s">
        <v>34</v>
      </c>
      <c r="W92" t="s">
        <v>35</v>
      </c>
    </row>
    <row r="93" spans="1:23">
      <c r="A93" t="s">
        <v>458</v>
      </c>
      <c r="B93" s="1" t="d">
        <v>2024-10-23</v>
      </c>
      <c r="C93" t="s">
        <v>459</v>
      </c>
      <c r="D93" t="s">
        <v>25</v>
      </c>
      <c r="E93" t="s">
        <v>460</v>
      </c>
      <c r="F93" t="s">
        <v>27</v>
      </c>
      <c r="G93" t="s">
        <v>461</v>
      </c>
      <c r="H93">
        <v>1399</v>
      </c>
      <c r="I93">
        <v>1</v>
      </c>
      <c r="J93">
        <v>1399</v>
      </c>
      <c r="K93" t="s">
        <v>42</v>
      </c>
      <c r="L93">
        <v>20</v>
      </c>
      <c r="M93" t="s">
        <v>111</v>
      </c>
      <c r="N93" t="s">
        <v>44</v>
      </c>
      <c r="O93" t="s">
        <v>84</v>
      </c>
      <c r="P93" t="s">
        <v>32</v>
      </c>
      <c r="Q93" t="s">
        <v>31</v>
      </c>
      <c r="R93" s="1" t="d">
        <v>2024-11-03</v>
      </c>
      <c r="S93" t="s">
        <v>33</v>
      </c>
      <c r="T93" t="s">
        <v>46</v>
      </c>
      <c r="U93" t="s">
        <v>47</v>
      </c>
      <c r="V93" s="1" t="d">
        <v>2024-12-02</v>
      </c>
      <c r="W93" t="s">
        <v>48</v>
      </c>
    </row>
    <row r="94" spans="1:23">
      <c r="A94" t="s">
        <v>462</v>
      </c>
      <c r="B94" s="1" t="d">
        <v>2024-10-23</v>
      </c>
      <c r="C94" t="s">
        <v>463</v>
      </c>
      <c r="D94" t="s">
        <v>25</v>
      </c>
      <c r="E94" t="s">
        <v>464</v>
      </c>
      <c r="F94" t="s">
        <v>61</v>
      </c>
      <c r="G94" t="s">
        <v>465</v>
      </c>
      <c r="H94">
        <v>4299</v>
      </c>
      <c r="I94">
        <v>1</v>
      </c>
      <c r="J94">
        <v>4299</v>
      </c>
      <c r="L94">
        <v>0</v>
      </c>
      <c r="M94" t="s">
        <v>43</v>
      </c>
      <c r="N94" t="s">
        <v>30</v>
      </c>
      <c r="O94" t="s">
        <v>96</v>
      </c>
      <c r="P94" t="s">
        <v>97</v>
      </c>
      <c r="Q94" t="s">
        <v>31</v>
      </c>
      <c r="R94" s="1" t="d">
        <v>2024-11-05</v>
      </c>
      <c r="S94" t="s">
        <v>33</v>
      </c>
      <c r="T94" t="s">
        <v>34</v>
      </c>
      <c r="W94" t="s">
        <v>35</v>
      </c>
    </row>
    <row r="95" spans="1:23">
      <c r="A95" t="s">
        <v>466</v>
      </c>
      <c r="B95" s="1" t="d">
        <v>2024-10-23</v>
      </c>
      <c r="C95" t="s">
        <v>467</v>
      </c>
      <c r="D95" t="s">
        <v>38</v>
      </c>
      <c r="E95" t="s">
        <v>468</v>
      </c>
      <c r="F95" t="s">
        <v>71</v>
      </c>
      <c r="G95" t="s">
        <v>469</v>
      </c>
      <c r="H95">
        <v>399</v>
      </c>
      <c r="I95">
        <v>3</v>
      </c>
      <c r="J95">
        <v>1197</v>
      </c>
      <c r="L95">
        <v>0</v>
      </c>
      <c r="M95" t="s">
        <v>29</v>
      </c>
      <c r="N95" t="s">
        <v>65</v>
      </c>
      <c r="O95" t="s">
        <v>102</v>
      </c>
      <c r="P95" t="s">
        <v>103</v>
      </c>
      <c r="Q95" t="s">
        <v>45</v>
      </c>
      <c r="R95" s="1" t="d">
        <v>2024-11-02</v>
      </c>
      <c r="S95" t="s">
        <v>33</v>
      </c>
      <c r="T95" t="s">
        <v>34</v>
      </c>
      <c r="W95" t="s">
        <v>35</v>
      </c>
    </row>
    <row r="96" spans="1:23">
      <c r="A96" t="s">
        <v>470</v>
      </c>
      <c r="B96" s="1" t="d">
        <v>2024-10-23</v>
      </c>
      <c r="C96" t="s">
        <v>471</v>
      </c>
      <c r="D96" t="s">
        <v>25</v>
      </c>
      <c r="E96" t="s">
        <v>472</v>
      </c>
      <c r="F96" t="s">
        <v>53</v>
      </c>
      <c r="G96" t="s">
        <v>473</v>
      </c>
      <c r="H96">
        <v>2199</v>
      </c>
      <c r="I96">
        <v>1</v>
      </c>
      <c r="J96">
        <v>2199</v>
      </c>
      <c r="K96" t="s">
        <v>63</v>
      </c>
      <c r="L96">
        <v>15</v>
      </c>
      <c r="M96" t="s">
        <v>64</v>
      </c>
      <c r="N96" t="s">
        <v>44</v>
      </c>
      <c r="O96" t="s">
        <v>112</v>
      </c>
      <c r="P96" t="s">
        <v>113</v>
      </c>
      <c r="Q96" t="s">
        <v>45</v>
      </c>
      <c r="R96" s="1" t="d">
        <v>2024-11-05</v>
      </c>
      <c r="S96" t="s">
        <v>33</v>
      </c>
      <c r="T96" t="s">
        <v>46</v>
      </c>
      <c r="U96" t="s">
        <v>138</v>
      </c>
      <c r="V96" s="1" t="d">
        <v>2024-12-05</v>
      </c>
      <c r="W96" t="s">
        <v>48</v>
      </c>
    </row>
    <row r="97" spans="1:23">
      <c r="A97" t="s">
        <v>474</v>
      </c>
      <c r="B97" s="1" t="d">
        <v>2024-10-24</v>
      </c>
      <c r="C97" t="s">
        <v>475</v>
      </c>
      <c r="D97" t="s">
        <v>25</v>
      </c>
      <c r="E97" t="s">
        <v>476</v>
      </c>
      <c r="F97" t="s">
        <v>40</v>
      </c>
      <c r="G97" t="s">
        <v>477</v>
      </c>
      <c r="H97">
        <v>2399</v>
      </c>
      <c r="I97">
        <v>1</v>
      </c>
      <c r="J97">
        <v>2399</v>
      </c>
      <c r="L97">
        <v>0</v>
      </c>
      <c r="M97" t="s">
        <v>43</v>
      </c>
      <c r="N97" t="s">
        <v>30</v>
      </c>
      <c r="O97" t="s">
        <v>56</v>
      </c>
      <c r="P97" t="s">
        <v>57</v>
      </c>
      <c r="Q97" t="s">
        <v>56</v>
      </c>
      <c r="R97" s="1" t="d">
        <v>2024-11-04</v>
      </c>
      <c r="S97" t="s">
        <v>33</v>
      </c>
      <c r="T97" t="s">
        <v>34</v>
      </c>
      <c r="W97" t="s">
        <v>35</v>
      </c>
    </row>
    <row r="98" spans="1:23">
      <c r="A98" t="s">
        <v>478</v>
      </c>
      <c r="B98" s="1" t="d">
        <v>2024-10-24</v>
      </c>
      <c r="C98" t="s">
        <v>479</v>
      </c>
      <c r="D98" t="s">
        <v>25</v>
      </c>
      <c r="E98" t="s">
        <v>480</v>
      </c>
      <c r="F98" t="s">
        <v>27</v>
      </c>
      <c r="G98" t="s">
        <v>481</v>
      </c>
      <c r="H98">
        <v>1299</v>
      </c>
      <c r="I98">
        <v>1</v>
      </c>
      <c r="J98">
        <v>1299</v>
      </c>
      <c r="L98">
        <v>0</v>
      </c>
      <c r="M98" t="s">
        <v>55</v>
      </c>
      <c r="N98" t="s">
        <v>65</v>
      </c>
      <c r="O98" t="s">
        <v>31</v>
      </c>
      <c r="P98" t="s">
        <v>32</v>
      </c>
      <c r="Q98" t="s">
        <v>31</v>
      </c>
      <c r="R98" s="1" t="d">
        <v>2024-11-06</v>
      </c>
      <c r="S98" t="s">
        <v>33</v>
      </c>
      <c r="T98" t="s">
        <v>46</v>
      </c>
      <c r="U98" t="s">
        <v>79</v>
      </c>
      <c r="V98" s="1" t="d">
        <v>2024-12-05</v>
      </c>
      <c r="W98" t="s">
        <v>48</v>
      </c>
    </row>
    <row r="99" spans="1:23">
      <c r="A99" t="s">
        <v>482</v>
      </c>
      <c r="B99" s="1" t="d">
        <v>2024-10-24</v>
      </c>
      <c r="C99" t="s">
        <v>483</v>
      </c>
      <c r="D99" t="s">
        <v>38</v>
      </c>
      <c r="E99" t="s">
        <v>484</v>
      </c>
      <c r="F99" t="s">
        <v>61</v>
      </c>
      <c r="G99" t="s">
        <v>485</v>
      </c>
      <c r="H99">
        <v>2799</v>
      </c>
      <c r="I99">
        <v>1</v>
      </c>
      <c r="J99">
        <v>2799</v>
      </c>
      <c r="K99" t="s">
        <v>42</v>
      </c>
      <c r="L99">
        <v>20</v>
      </c>
      <c r="M99" t="s">
        <v>29</v>
      </c>
      <c r="N99" t="s">
        <v>44</v>
      </c>
      <c r="O99" t="s">
        <v>45</v>
      </c>
      <c r="P99" t="s">
        <v>45</v>
      </c>
      <c r="Q99" t="s">
        <v>45</v>
      </c>
      <c r="R99" s="1" t="d">
        <v>2024-11-05</v>
      </c>
      <c r="S99" t="s">
        <v>33</v>
      </c>
      <c r="T99" t="s">
        <v>34</v>
      </c>
      <c r="W99" t="s">
        <v>35</v>
      </c>
    </row>
    <row r="100" spans="1:23">
      <c r="A100" t="s">
        <v>486</v>
      </c>
      <c r="B100" s="1" t="d">
        <v>2024-10-24</v>
      </c>
      <c r="C100" t="s">
        <v>487</v>
      </c>
      <c r="D100" t="s">
        <v>25</v>
      </c>
      <c r="E100" t="s">
        <v>488</v>
      </c>
      <c r="F100" t="s">
        <v>71</v>
      </c>
      <c r="G100" t="s">
        <v>489</v>
      </c>
      <c r="H100">
        <v>699</v>
      </c>
      <c r="I100">
        <v>1</v>
      </c>
      <c r="J100">
        <v>699</v>
      </c>
      <c r="L100">
        <v>0</v>
      </c>
      <c r="M100" t="s">
        <v>111</v>
      </c>
      <c r="N100" t="s">
        <v>30</v>
      </c>
      <c r="O100" t="s">
        <v>118</v>
      </c>
      <c r="P100" t="s">
        <v>119</v>
      </c>
      <c r="Q100" t="s">
        <v>45</v>
      </c>
      <c r="R100" s="1" t="d">
        <v>2024-11-04</v>
      </c>
      <c r="S100" t="s">
        <v>33</v>
      </c>
      <c r="T100" t="s">
        <v>34</v>
      </c>
      <c r="W100" t="s">
        <v>35</v>
      </c>
    </row>
    <row r="101" spans="1:23">
      <c r="A101" t="s">
        <v>490</v>
      </c>
      <c r="B101" s="1" t="d">
        <v>2024-10-25</v>
      </c>
      <c r="C101" t="s">
        <v>491</v>
      </c>
      <c r="D101" t="s">
        <v>25</v>
      </c>
      <c r="E101" t="s">
        <v>492</v>
      </c>
      <c r="F101" t="s">
        <v>53</v>
      </c>
      <c r="G101" t="s">
        <v>493</v>
      </c>
      <c r="H101">
        <v>1699</v>
      </c>
      <c r="I101">
        <v>1</v>
      </c>
      <c r="J101">
        <v>1699</v>
      </c>
      <c r="L101">
        <v>0</v>
      </c>
      <c r="M101" t="s">
        <v>64</v>
      </c>
      <c r="N101" t="s">
        <v>65</v>
      </c>
      <c r="O101" t="s">
        <v>137</v>
      </c>
      <c r="P101" t="s">
        <v>113</v>
      </c>
      <c r="Q101" t="s">
        <v>45</v>
      </c>
      <c r="R101" s="1" t="d">
        <v>2024-11-07</v>
      </c>
      <c r="S101" t="s">
        <v>33</v>
      </c>
      <c r="T101" t="s">
        <v>46</v>
      </c>
      <c r="U101" t="s">
        <v>47</v>
      </c>
      <c r="V101" s="1" t="d">
        <v>2024-12-06</v>
      </c>
      <c r="W101" t="s">
        <v>48</v>
      </c>
    </row>
    <row r="102" spans="1:23">
      <c r="A102" t="s">
        <v>494</v>
      </c>
      <c r="B102" s="1" t="d">
        <v>2024-10-25</v>
      </c>
      <c r="C102" t="s">
        <v>495</v>
      </c>
      <c r="D102" t="s">
        <v>25</v>
      </c>
      <c r="E102" t="s">
        <v>496</v>
      </c>
      <c r="F102" t="s">
        <v>40</v>
      </c>
      <c r="G102" t="s">
        <v>149</v>
      </c>
      <c r="H102">
        <v>2799</v>
      </c>
      <c r="I102">
        <v>1</v>
      </c>
      <c r="J102">
        <v>2799</v>
      </c>
      <c r="K102" t="s">
        <v>110</v>
      </c>
      <c r="L102">
        <v>10</v>
      </c>
      <c r="M102" t="s">
        <v>43</v>
      </c>
      <c r="N102" t="s">
        <v>44</v>
      </c>
      <c r="O102" t="s">
        <v>143</v>
      </c>
      <c r="P102" t="s">
        <v>144</v>
      </c>
      <c r="Q102" t="s">
        <v>45</v>
      </c>
      <c r="R102" s="1" t="d">
        <v>2024-11-06</v>
      </c>
      <c r="S102" t="s">
        <v>33</v>
      </c>
      <c r="T102" t="s">
        <v>34</v>
      </c>
      <c r="W102" t="s">
        <v>35</v>
      </c>
    </row>
    <row r="103" spans="1:23">
      <c r="A103" t="s">
        <v>497</v>
      </c>
      <c r="B103" s="1" t="d">
        <v>2024-10-25</v>
      </c>
      <c r="C103" t="s">
        <v>498</v>
      </c>
      <c r="D103" t="s">
        <v>38</v>
      </c>
      <c r="E103" t="s">
        <v>499</v>
      </c>
      <c r="F103" t="s">
        <v>27</v>
      </c>
      <c r="G103" t="s">
        <v>500</v>
      </c>
      <c r="H103">
        <v>1199</v>
      </c>
      <c r="I103">
        <v>2</v>
      </c>
      <c r="J103">
        <v>2398</v>
      </c>
      <c r="L103">
        <v>0</v>
      </c>
      <c r="M103" t="s">
        <v>29</v>
      </c>
      <c r="N103" t="s">
        <v>30</v>
      </c>
      <c r="O103" t="s">
        <v>150</v>
      </c>
      <c r="P103" t="s">
        <v>151</v>
      </c>
      <c r="Q103" t="s">
        <v>31</v>
      </c>
      <c r="R103" s="1" t="d">
        <v>2024-11-05</v>
      </c>
      <c r="S103" t="s">
        <v>33</v>
      </c>
      <c r="T103" t="s">
        <v>46</v>
      </c>
      <c r="U103" t="s">
        <v>68</v>
      </c>
      <c r="V103" s="1" t="d">
        <v>2024-12-04</v>
      </c>
      <c r="W103" t="s">
        <v>48</v>
      </c>
    </row>
    <row r="104" spans="1:23">
      <c r="A104" t="s">
        <v>501</v>
      </c>
      <c r="B104" s="1" t="d">
        <v>2024-10-25</v>
      </c>
      <c r="C104" t="s">
        <v>502</v>
      </c>
      <c r="D104" t="s">
        <v>25</v>
      </c>
      <c r="E104" t="s">
        <v>503</v>
      </c>
      <c r="F104" t="s">
        <v>61</v>
      </c>
      <c r="G104" t="s">
        <v>504</v>
      </c>
      <c r="H104">
        <v>5999</v>
      </c>
      <c r="I104">
        <v>1</v>
      </c>
      <c r="J104">
        <v>5999</v>
      </c>
      <c r="L104">
        <v>0</v>
      </c>
      <c r="M104" t="s">
        <v>43</v>
      </c>
      <c r="N104" t="s">
        <v>65</v>
      </c>
      <c r="O104" t="s">
        <v>156</v>
      </c>
      <c r="P104" t="s">
        <v>97</v>
      </c>
      <c r="Q104" t="s">
        <v>31</v>
      </c>
      <c r="R104" s="1" t="d">
        <v>2024-11-08</v>
      </c>
      <c r="S104" t="s">
        <v>33</v>
      </c>
      <c r="T104" t="s">
        <v>34</v>
      </c>
      <c r="W104" t="s">
        <v>35</v>
      </c>
    </row>
    <row r="105" spans="1:23">
      <c r="A105" t="s">
        <v>505</v>
      </c>
      <c r="B105" s="1" t="d">
        <v>2024-10-26</v>
      </c>
      <c r="C105" t="s">
        <v>506</v>
      </c>
      <c r="D105" t="s">
        <v>25</v>
      </c>
      <c r="E105" t="s">
        <v>507</v>
      </c>
      <c r="F105" t="s">
        <v>71</v>
      </c>
      <c r="G105" t="s">
        <v>508</v>
      </c>
      <c r="H105">
        <v>1799</v>
      </c>
      <c r="I105">
        <v>1</v>
      </c>
      <c r="J105">
        <v>1799</v>
      </c>
      <c r="K105" t="s">
        <v>42</v>
      </c>
      <c r="L105">
        <v>20</v>
      </c>
      <c r="M105" t="s">
        <v>55</v>
      </c>
      <c r="N105" t="s">
        <v>44</v>
      </c>
      <c r="O105" t="s">
        <v>161</v>
      </c>
      <c r="P105" t="s">
        <v>162</v>
      </c>
      <c r="Q105" t="s">
        <v>45</v>
      </c>
      <c r="S105" t="s">
        <v>120</v>
      </c>
      <c r="T105" t="s">
        <v>34</v>
      </c>
      <c r="W105" t="s">
        <v>35</v>
      </c>
    </row>
    <row r="106" spans="1:23">
      <c r="A106" t="s">
        <v>509</v>
      </c>
      <c r="B106" s="1" t="d">
        <v>2024-10-26</v>
      </c>
      <c r="C106" t="s">
        <v>510</v>
      </c>
      <c r="D106" t="s">
        <v>25</v>
      </c>
      <c r="E106" t="s">
        <v>511</v>
      </c>
      <c r="F106" t="s">
        <v>53</v>
      </c>
      <c r="G106" t="s">
        <v>512</v>
      </c>
      <c r="H106">
        <v>1999</v>
      </c>
      <c r="I106">
        <v>1</v>
      </c>
      <c r="J106">
        <v>1999</v>
      </c>
      <c r="L106">
        <v>0</v>
      </c>
      <c r="M106" t="s">
        <v>111</v>
      </c>
      <c r="N106" t="s">
        <v>30</v>
      </c>
      <c r="O106" t="s">
        <v>167</v>
      </c>
      <c r="P106" t="s">
        <v>151</v>
      </c>
      <c r="Q106" t="s">
        <v>31</v>
      </c>
      <c r="R106" s="1" t="d">
        <v>2024-11-07</v>
      </c>
      <c r="S106" t="s">
        <v>33</v>
      </c>
      <c r="T106" t="s">
        <v>46</v>
      </c>
      <c r="U106" t="s">
        <v>104</v>
      </c>
      <c r="V106" s="1" t="d">
        <v>2024-12-07</v>
      </c>
      <c r="W106" t="s">
        <v>48</v>
      </c>
    </row>
    <row r="107" spans="1:23">
      <c r="A107" t="s">
        <v>513</v>
      </c>
      <c r="B107" s="1" t="d">
        <v>2024-10-26</v>
      </c>
      <c r="C107" t="s">
        <v>514</v>
      </c>
      <c r="D107" t="s">
        <v>38</v>
      </c>
      <c r="E107" t="s">
        <v>515</v>
      </c>
      <c r="F107" t="s">
        <v>40</v>
      </c>
      <c r="G107" t="s">
        <v>516</v>
      </c>
      <c r="H107">
        <v>2499</v>
      </c>
      <c r="I107">
        <v>1</v>
      </c>
      <c r="J107">
        <v>2499</v>
      </c>
      <c r="L107">
        <v>0</v>
      </c>
      <c r="M107" t="s">
        <v>64</v>
      </c>
      <c r="N107" t="s">
        <v>65</v>
      </c>
      <c r="O107" t="s">
        <v>172</v>
      </c>
      <c r="P107" t="s">
        <v>32</v>
      </c>
      <c r="Q107" t="s">
        <v>31</v>
      </c>
      <c r="R107" s="1" t="d">
        <v>2024-11-08</v>
      </c>
      <c r="S107" t="s">
        <v>33</v>
      </c>
      <c r="T107" t="s">
        <v>34</v>
      </c>
      <c r="W107" t="s">
        <v>35</v>
      </c>
    </row>
    <row r="108" spans="1:23">
      <c r="A108" t="s">
        <v>517</v>
      </c>
      <c r="B108" s="1" t="d">
        <v>2024-10-26</v>
      </c>
      <c r="C108" t="s">
        <v>518</v>
      </c>
      <c r="D108" t="s">
        <v>25</v>
      </c>
      <c r="E108" t="s">
        <v>519</v>
      </c>
      <c r="F108" t="s">
        <v>27</v>
      </c>
      <c r="G108" t="s">
        <v>520</v>
      </c>
      <c r="H108">
        <v>1599</v>
      </c>
      <c r="I108">
        <v>1</v>
      </c>
      <c r="J108">
        <v>1599</v>
      </c>
      <c r="K108" t="s">
        <v>63</v>
      </c>
      <c r="L108">
        <v>15</v>
      </c>
      <c r="M108" t="s">
        <v>29</v>
      </c>
      <c r="N108" t="s">
        <v>44</v>
      </c>
      <c r="O108" t="s">
        <v>177</v>
      </c>
      <c r="P108" t="s">
        <v>67</v>
      </c>
      <c r="Q108" t="s">
        <v>56</v>
      </c>
      <c r="R108" s="1" t="d">
        <v>2024-11-06</v>
      </c>
      <c r="S108" t="s">
        <v>33</v>
      </c>
      <c r="T108" t="s">
        <v>46</v>
      </c>
      <c r="U108" t="s">
        <v>47</v>
      </c>
      <c r="V108" s="1" t="d">
        <v>2024-12-05</v>
      </c>
      <c r="W108" t="s">
        <v>48</v>
      </c>
    </row>
    <row r="109" spans="1:23">
      <c r="A109" t="s">
        <v>521</v>
      </c>
      <c r="B109" s="1" t="d">
        <v>2024-10-27</v>
      </c>
      <c r="C109" t="s">
        <v>522</v>
      </c>
      <c r="D109" t="s">
        <v>25</v>
      </c>
      <c r="E109" t="s">
        <v>523</v>
      </c>
      <c r="F109" t="s">
        <v>61</v>
      </c>
      <c r="G109" t="s">
        <v>524</v>
      </c>
      <c r="H109">
        <v>3999</v>
      </c>
      <c r="I109">
        <v>1</v>
      </c>
      <c r="J109">
        <v>3999</v>
      </c>
      <c r="L109">
        <v>0</v>
      </c>
      <c r="M109" t="s">
        <v>43</v>
      </c>
      <c r="N109" t="s">
        <v>30</v>
      </c>
      <c r="O109" t="s">
        <v>182</v>
      </c>
      <c r="P109" t="s">
        <v>183</v>
      </c>
      <c r="Q109" t="s">
        <v>56</v>
      </c>
      <c r="R109" s="1" t="d">
        <v>2024-11-09</v>
      </c>
      <c r="S109" t="s">
        <v>33</v>
      </c>
      <c r="T109" t="s">
        <v>34</v>
      </c>
      <c r="W109" t="s">
        <v>35</v>
      </c>
    </row>
    <row r="110" spans="1:23">
      <c r="A110" t="s">
        <v>525</v>
      </c>
      <c r="B110" s="1" t="d">
        <v>2024-10-27</v>
      </c>
      <c r="C110" t="s">
        <v>526</v>
      </c>
      <c r="D110" t="s">
        <v>25</v>
      </c>
      <c r="E110" t="s">
        <v>527</v>
      </c>
      <c r="F110" t="s">
        <v>71</v>
      </c>
      <c r="G110" t="s">
        <v>528</v>
      </c>
      <c r="H110">
        <v>599</v>
      </c>
      <c r="I110">
        <v>2</v>
      </c>
      <c r="J110">
        <v>1198</v>
      </c>
      <c r="L110">
        <v>0</v>
      </c>
      <c r="M110" t="s">
        <v>55</v>
      </c>
      <c r="N110" t="s">
        <v>65</v>
      </c>
      <c r="O110" t="s">
        <v>188</v>
      </c>
      <c r="P110" t="s">
        <v>189</v>
      </c>
      <c r="Q110" t="s">
        <v>56</v>
      </c>
      <c r="R110" s="1" t="d">
        <v>2024-11-07</v>
      </c>
      <c r="S110" t="s">
        <v>33</v>
      </c>
      <c r="T110" t="s">
        <v>46</v>
      </c>
      <c r="U110" t="s">
        <v>138</v>
      </c>
      <c r="V110" s="1" t="d">
        <v>2024-12-06</v>
      </c>
      <c r="W110" t="s">
        <v>48</v>
      </c>
    </row>
    <row r="111" spans="1:23">
      <c r="A111" t="s">
        <v>529</v>
      </c>
      <c r="B111" s="1" t="d">
        <v>2024-10-27</v>
      </c>
      <c r="C111" t="s">
        <v>530</v>
      </c>
      <c r="D111" t="s">
        <v>38</v>
      </c>
      <c r="E111" t="s">
        <v>531</v>
      </c>
      <c r="F111" t="s">
        <v>53</v>
      </c>
      <c r="G111" t="s">
        <v>532</v>
      </c>
      <c r="H111">
        <v>1799</v>
      </c>
      <c r="I111">
        <v>1</v>
      </c>
      <c r="J111">
        <v>1799</v>
      </c>
      <c r="K111" t="s">
        <v>42</v>
      </c>
      <c r="L111">
        <v>20</v>
      </c>
      <c r="M111" t="s">
        <v>29</v>
      </c>
      <c r="N111" t="s">
        <v>44</v>
      </c>
      <c r="O111" t="s">
        <v>194</v>
      </c>
      <c r="P111" t="s">
        <v>183</v>
      </c>
      <c r="Q111" t="s">
        <v>56</v>
      </c>
      <c r="R111" s="1" t="d">
        <v>2024-11-08</v>
      </c>
      <c r="S111" t="s">
        <v>33</v>
      </c>
      <c r="T111" t="s">
        <v>34</v>
      </c>
      <c r="W111" t="s">
        <v>35</v>
      </c>
    </row>
    <row r="112" spans="1:23">
      <c r="A112" t="s">
        <v>533</v>
      </c>
      <c r="B112" s="1" t="d">
        <v>2024-10-28</v>
      </c>
      <c r="C112" t="s">
        <v>534</v>
      </c>
      <c r="D112" t="s">
        <v>25</v>
      </c>
      <c r="E112" t="s">
        <v>535</v>
      </c>
      <c r="F112" t="s">
        <v>40</v>
      </c>
      <c r="G112" t="s">
        <v>536</v>
      </c>
      <c r="H112">
        <v>3499</v>
      </c>
      <c r="I112">
        <v>1</v>
      </c>
      <c r="J112">
        <v>3499</v>
      </c>
      <c r="K112" t="s">
        <v>537</v>
      </c>
      <c r="L112">
        <v>40</v>
      </c>
      <c r="M112" t="s">
        <v>43</v>
      </c>
      <c r="N112" t="s">
        <v>30</v>
      </c>
      <c r="O112" t="s">
        <v>45</v>
      </c>
      <c r="P112" t="s">
        <v>45</v>
      </c>
      <c r="Q112" t="s">
        <v>45</v>
      </c>
      <c r="R112" s="1" t="d">
        <v>2024-11-02</v>
      </c>
      <c r="S112" t="s">
        <v>33</v>
      </c>
      <c r="T112" t="s">
        <v>46</v>
      </c>
      <c r="U112" t="s">
        <v>47</v>
      </c>
      <c r="V112" s="1" t="d">
        <v>2024-11-18</v>
      </c>
      <c r="W112" t="s">
        <v>48</v>
      </c>
    </row>
    <row r="113" spans="1:23">
      <c r="A113" t="s">
        <v>538</v>
      </c>
      <c r="B113" s="1" t="d">
        <v>2024-10-28</v>
      </c>
      <c r="C113" t="s">
        <v>539</v>
      </c>
      <c r="D113" t="s">
        <v>25</v>
      </c>
      <c r="E113" t="s">
        <v>540</v>
      </c>
      <c r="F113" t="s">
        <v>61</v>
      </c>
      <c r="G113" t="s">
        <v>541</v>
      </c>
      <c r="H113">
        <v>5999</v>
      </c>
      <c r="I113">
        <v>1</v>
      </c>
      <c r="J113">
        <v>5999</v>
      </c>
      <c r="K113" t="s">
        <v>537</v>
      </c>
      <c r="L113">
        <v>40</v>
      </c>
      <c r="M113" t="s">
        <v>55</v>
      </c>
      <c r="N113" t="s">
        <v>44</v>
      </c>
      <c r="O113" t="s">
        <v>31</v>
      </c>
      <c r="P113" t="s">
        <v>32</v>
      </c>
      <c r="Q113" t="s">
        <v>31</v>
      </c>
      <c r="R113" s="1" t="d">
        <v>2024-11-03</v>
      </c>
      <c r="S113" t="s">
        <v>33</v>
      </c>
      <c r="T113" t="s">
        <v>46</v>
      </c>
      <c r="U113" t="s">
        <v>104</v>
      </c>
      <c r="V113" s="1" t="d">
        <v>2024-11-20</v>
      </c>
      <c r="W113" t="s">
        <v>48</v>
      </c>
    </row>
    <row r="114" spans="1:23">
      <c r="A114" t="s">
        <v>542</v>
      </c>
      <c r="B114" s="1" t="d">
        <v>2024-10-28</v>
      </c>
      <c r="C114" t="s">
        <v>543</v>
      </c>
      <c r="D114" t="s">
        <v>25</v>
      </c>
      <c r="E114" t="s">
        <v>544</v>
      </c>
      <c r="F114" t="s">
        <v>27</v>
      </c>
      <c r="G114" t="s">
        <v>545</v>
      </c>
      <c r="H114">
        <v>2299</v>
      </c>
      <c r="I114">
        <v>2</v>
      </c>
      <c r="J114">
        <v>4598</v>
      </c>
      <c r="K114" t="s">
        <v>537</v>
      </c>
      <c r="L114">
        <v>40</v>
      </c>
      <c r="M114" t="s">
        <v>29</v>
      </c>
      <c r="N114" t="s">
        <v>65</v>
      </c>
      <c r="O114" t="s">
        <v>102</v>
      </c>
      <c r="P114" t="s">
        <v>103</v>
      </c>
      <c r="Q114" t="s">
        <v>45</v>
      </c>
      <c r="R114" s="1" t="d">
        <v>2024-11-04</v>
      </c>
      <c r="S114" t="s">
        <v>33</v>
      </c>
      <c r="T114" t="s">
        <v>46</v>
      </c>
      <c r="U114" t="s">
        <v>47</v>
      </c>
      <c r="V114" s="1" t="d">
        <v>2024-11-22</v>
      </c>
      <c r="W114" t="s">
        <v>48</v>
      </c>
    </row>
    <row r="115" spans="1:23">
      <c r="A115" t="s">
        <v>546</v>
      </c>
      <c r="B115" s="1" t="d">
        <v>2024-10-28</v>
      </c>
      <c r="C115" t="s">
        <v>547</v>
      </c>
      <c r="D115" t="s">
        <v>38</v>
      </c>
      <c r="E115" t="s">
        <v>369</v>
      </c>
      <c r="F115" t="s">
        <v>71</v>
      </c>
      <c r="G115" t="s">
        <v>548</v>
      </c>
      <c r="H115">
        <v>1599</v>
      </c>
      <c r="I115">
        <v>1</v>
      </c>
      <c r="J115">
        <v>1599</v>
      </c>
      <c r="K115" t="s">
        <v>537</v>
      </c>
      <c r="L115">
        <v>40</v>
      </c>
      <c r="M115" t="s">
        <v>43</v>
      </c>
      <c r="N115" t="s">
        <v>30</v>
      </c>
      <c r="O115" t="s">
        <v>112</v>
      </c>
      <c r="P115" t="s">
        <v>113</v>
      </c>
      <c r="Q115" t="s">
        <v>45</v>
      </c>
      <c r="R115" s="1" t="d">
        <v>2024-11-03</v>
      </c>
      <c r="S115" t="s">
        <v>33</v>
      </c>
      <c r="T115" t="s">
        <v>34</v>
      </c>
      <c r="W115" t="s">
        <v>35</v>
      </c>
    </row>
    <row r="116" spans="1:23">
      <c r="A116" t="s">
        <v>549</v>
      </c>
      <c r="B116" s="1" t="d">
        <v>2024-10-28</v>
      </c>
      <c r="C116" t="s">
        <v>550</v>
      </c>
      <c r="D116" t="s">
        <v>25</v>
      </c>
      <c r="E116" t="s">
        <v>551</v>
      </c>
      <c r="F116" t="s">
        <v>53</v>
      </c>
      <c r="G116" t="s">
        <v>254</v>
      </c>
      <c r="H116">
        <v>1899</v>
      </c>
      <c r="I116">
        <v>1</v>
      </c>
      <c r="J116">
        <v>1899</v>
      </c>
      <c r="K116" t="s">
        <v>537</v>
      </c>
      <c r="L116">
        <v>40</v>
      </c>
      <c r="M116" t="s">
        <v>55</v>
      </c>
      <c r="N116" t="s">
        <v>44</v>
      </c>
      <c r="O116" t="s">
        <v>66</v>
      </c>
      <c r="P116" t="s">
        <v>67</v>
      </c>
      <c r="Q116" t="s">
        <v>56</v>
      </c>
      <c r="S116" t="s">
        <v>120</v>
      </c>
      <c r="T116" t="s">
        <v>34</v>
      </c>
      <c r="W116" t="s">
        <v>35</v>
      </c>
    </row>
    <row r="117" spans="1:23">
      <c r="A117" t="s">
        <v>552</v>
      </c>
      <c r="B117" s="1" t="d">
        <v>2024-10-29</v>
      </c>
      <c r="C117" t="s">
        <v>553</v>
      </c>
      <c r="D117" t="s">
        <v>25</v>
      </c>
      <c r="E117" t="s">
        <v>554</v>
      </c>
      <c r="F117" t="s">
        <v>40</v>
      </c>
      <c r="G117" t="s">
        <v>555</v>
      </c>
      <c r="H117">
        <v>4299</v>
      </c>
      <c r="I117">
        <v>1</v>
      </c>
      <c r="J117">
        <v>4299</v>
      </c>
      <c r="K117" t="s">
        <v>537</v>
      </c>
      <c r="L117">
        <v>40</v>
      </c>
      <c r="M117" t="s">
        <v>64</v>
      </c>
      <c r="N117" t="s">
        <v>30</v>
      </c>
      <c r="O117" t="s">
        <v>77</v>
      </c>
      <c r="P117" t="s">
        <v>78</v>
      </c>
      <c r="Q117" t="s">
        <v>56</v>
      </c>
      <c r="R117" s="1" t="d">
        <v>2024-11-05</v>
      </c>
      <c r="S117" t="s">
        <v>33</v>
      </c>
      <c r="T117" t="s">
        <v>46</v>
      </c>
      <c r="U117" t="s">
        <v>68</v>
      </c>
      <c r="V117" s="1" t="d">
        <v>2024-11-25</v>
      </c>
      <c r="W117" t="s">
        <v>48</v>
      </c>
    </row>
    <row r="118" spans="1:23">
      <c r="A118" t="s">
        <v>556</v>
      </c>
      <c r="B118" s="1" t="d">
        <v>2024-10-29</v>
      </c>
      <c r="C118" t="s">
        <v>557</v>
      </c>
      <c r="D118" t="s">
        <v>25</v>
      </c>
      <c r="E118" t="s">
        <v>558</v>
      </c>
      <c r="F118" t="s">
        <v>27</v>
      </c>
      <c r="G118" t="s">
        <v>559</v>
      </c>
      <c r="H118">
        <v>2599</v>
      </c>
      <c r="I118">
        <v>1</v>
      </c>
      <c r="J118">
        <v>2599</v>
      </c>
      <c r="K118" t="s">
        <v>537</v>
      </c>
      <c r="L118">
        <v>40</v>
      </c>
      <c r="M118" t="s">
        <v>29</v>
      </c>
      <c r="N118" t="s">
        <v>65</v>
      </c>
      <c r="O118" t="s">
        <v>84</v>
      </c>
      <c r="P118" t="s">
        <v>32</v>
      </c>
      <c r="Q118" t="s">
        <v>31</v>
      </c>
      <c r="R118" s="1" t="d">
        <v>2024-11-06</v>
      </c>
      <c r="S118" t="s">
        <v>33</v>
      </c>
      <c r="T118" t="s">
        <v>46</v>
      </c>
      <c r="U118" t="s">
        <v>79</v>
      </c>
      <c r="V118" s="1" t="d">
        <v>2024-11-28</v>
      </c>
      <c r="W118" t="s">
        <v>105</v>
      </c>
    </row>
    <row r="119" spans="1:23">
      <c r="A119" t="s">
        <v>560</v>
      </c>
      <c r="B119" s="1" t="d">
        <v>2024-10-29</v>
      </c>
      <c r="C119" t="s">
        <v>561</v>
      </c>
      <c r="D119" t="s">
        <v>25</v>
      </c>
      <c r="E119" t="s">
        <v>484</v>
      </c>
      <c r="F119" t="s">
        <v>61</v>
      </c>
      <c r="G119" t="s">
        <v>562</v>
      </c>
      <c r="H119">
        <v>3999</v>
      </c>
      <c r="I119">
        <v>1</v>
      </c>
      <c r="J119">
        <v>3999</v>
      </c>
      <c r="K119" t="s">
        <v>537</v>
      </c>
      <c r="L119">
        <v>40</v>
      </c>
      <c r="M119" t="s">
        <v>43</v>
      </c>
      <c r="N119" t="s">
        <v>44</v>
      </c>
      <c r="O119" t="s">
        <v>563</v>
      </c>
      <c r="P119" t="s">
        <v>119</v>
      </c>
      <c r="Q119" t="s">
        <v>45</v>
      </c>
      <c r="R119" s="1" t="d">
        <v>2024-11-07</v>
      </c>
      <c r="S119" t="s">
        <v>33</v>
      </c>
      <c r="T119" t="s">
        <v>46</v>
      </c>
      <c r="U119" t="s">
        <v>47</v>
      </c>
      <c r="V119" s="1" t="d">
        <v>2024-12-01</v>
      </c>
      <c r="W119" t="s">
        <v>48</v>
      </c>
    </row>
    <row r="120" spans="1:23">
      <c r="A120" t="s">
        <v>564</v>
      </c>
      <c r="B120" s="1" t="d">
        <v>2024-10-29</v>
      </c>
      <c r="C120" t="s">
        <v>565</v>
      </c>
      <c r="D120" t="s">
        <v>38</v>
      </c>
      <c r="E120" t="s">
        <v>566</v>
      </c>
      <c r="F120" t="s">
        <v>40</v>
      </c>
      <c r="G120" t="s">
        <v>567</v>
      </c>
      <c r="H120">
        <v>8999</v>
      </c>
      <c r="I120">
        <v>1</v>
      </c>
      <c r="J120">
        <v>8999</v>
      </c>
      <c r="K120" t="s">
        <v>537</v>
      </c>
      <c r="L120">
        <v>40</v>
      </c>
      <c r="M120" t="s">
        <v>43</v>
      </c>
      <c r="N120" t="s">
        <v>30</v>
      </c>
      <c r="O120" t="s">
        <v>96</v>
      </c>
      <c r="P120" t="s">
        <v>97</v>
      </c>
      <c r="Q120" t="s">
        <v>31</v>
      </c>
      <c r="R120" s="1" t="d">
        <v>2024-11-06</v>
      </c>
      <c r="S120" t="s">
        <v>33</v>
      </c>
      <c r="T120" t="s">
        <v>46</v>
      </c>
      <c r="U120" t="s">
        <v>47</v>
      </c>
      <c r="V120" s="1" t="d">
        <v>2024-12-02</v>
      </c>
      <c r="W120" t="s">
        <v>48</v>
      </c>
    </row>
    <row r="121" spans="1:23">
      <c r="A121" t="s">
        <v>568</v>
      </c>
      <c r="B121" s="1" t="d">
        <v>2024-10-29</v>
      </c>
      <c r="C121" t="s">
        <v>569</v>
      </c>
      <c r="D121" t="s">
        <v>25</v>
      </c>
      <c r="E121" t="s">
        <v>570</v>
      </c>
      <c r="F121" t="s">
        <v>71</v>
      </c>
      <c r="G121" t="s">
        <v>571</v>
      </c>
      <c r="H121">
        <v>1299</v>
      </c>
      <c r="I121">
        <v>2</v>
      </c>
      <c r="J121">
        <v>2598</v>
      </c>
      <c r="K121" t="s">
        <v>537</v>
      </c>
      <c r="L121">
        <v>40</v>
      </c>
      <c r="M121" t="s">
        <v>55</v>
      </c>
      <c r="N121" t="s">
        <v>65</v>
      </c>
      <c r="O121" t="s">
        <v>90</v>
      </c>
      <c r="P121" t="s">
        <v>91</v>
      </c>
      <c r="Q121" t="s">
        <v>45</v>
      </c>
      <c r="R121" s="1" t="d">
        <v>2024-11-08</v>
      </c>
      <c r="S121" t="s">
        <v>33</v>
      </c>
      <c r="T121" t="s">
        <v>46</v>
      </c>
      <c r="U121" t="s">
        <v>138</v>
      </c>
      <c r="V121" s="1" t="d">
        <v>2024-11-30</v>
      </c>
      <c r="W121" t="s">
        <v>48</v>
      </c>
    </row>
    <row r="122" spans="1:23">
      <c r="A122" t="s">
        <v>572</v>
      </c>
      <c r="B122" s="1" t="d">
        <v>2024-10-29</v>
      </c>
      <c r="C122" t="s">
        <v>573</v>
      </c>
      <c r="D122" t="s">
        <v>25</v>
      </c>
      <c r="E122" t="s">
        <v>574</v>
      </c>
      <c r="F122" t="s">
        <v>27</v>
      </c>
      <c r="G122" t="s">
        <v>575</v>
      </c>
      <c r="H122">
        <v>1999</v>
      </c>
      <c r="I122">
        <v>1</v>
      </c>
      <c r="J122">
        <v>1999</v>
      </c>
      <c r="K122" t="s">
        <v>537</v>
      </c>
      <c r="L122">
        <v>40</v>
      </c>
      <c r="M122" t="s">
        <v>29</v>
      </c>
      <c r="N122" t="s">
        <v>44</v>
      </c>
      <c r="O122" t="s">
        <v>56</v>
      </c>
      <c r="P122" t="s">
        <v>57</v>
      </c>
      <c r="Q122" t="s">
        <v>56</v>
      </c>
      <c r="R122" s="1" t="d">
        <v>2024-11-07</v>
      </c>
      <c r="S122" t="s">
        <v>33</v>
      </c>
      <c r="T122" t="s">
        <v>46</v>
      </c>
      <c r="U122" t="s">
        <v>68</v>
      </c>
      <c r="V122" s="1" t="d">
        <v>2024-12-03</v>
      </c>
      <c r="W122" t="s">
        <v>48</v>
      </c>
    </row>
    <row r="123" spans="1:23">
      <c r="A123" t="s">
        <v>576</v>
      </c>
      <c r="B123" s="1" t="d">
        <v>2024-10-30</v>
      </c>
      <c r="C123" t="s">
        <v>577</v>
      </c>
      <c r="D123" t="s">
        <v>25</v>
      </c>
      <c r="E123" t="s">
        <v>578</v>
      </c>
      <c r="F123" t="s">
        <v>53</v>
      </c>
      <c r="G123" t="s">
        <v>579</v>
      </c>
      <c r="H123">
        <v>5499</v>
      </c>
      <c r="I123">
        <v>1</v>
      </c>
      <c r="J123">
        <v>5499</v>
      </c>
      <c r="K123" t="s">
        <v>537</v>
      </c>
      <c r="L123">
        <v>40</v>
      </c>
      <c r="M123" t="s">
        <v>111</v>
      </c>
      <c r="N123" t="s">
        <v>30</v>
      </c>
      <c r="O123" t="s">
        <v>156</v>
      </c>
      <c r="P123" t="s">
        <v>97</v>
      </c>
      <c r="Q123" t="s">
        <v>31</v>
      </c>
      <c r="R123" s="1" t="d">
        <v>2024-11-08</v>
      </c>
      <c r="S123" t="s">
        <v>33</v>
      </c>
      <c r="T123" t="s">
        <v>46</v>
      </c>
      <c r="U123" t="s">
        <v>47</v>
      </c>
      <c r="V123" s="1" t="d">
        <v>2024-12-01</v>
      </c>
      <c r="W123" t="s">
        <v>48</v>
      </c>
    </row>
    <row r="124" spans="1:23">
      <c r="A124" t="s">
        <v>580</v>
      </c>
      <c r="B124" s="1" t="d">
        <v>2024-10-30</v>
      </c>
      <c r="C124" t="s">
        <v>581</v>
      </c>
      <c r="D124" t="s">
        <v>25</v>
      </c>
      <c r="E124" t="s">
        <v>582</v>
      </c>
      <c r="F124" t="s">
        <v>40</v>
      </c>
      <c r="G124" t="s">
        <v>583</v>
      </c>
      <c r="H124">
        <v>6999</v>
      </c>
      <c r="I124">
        <v>1</v>
      </c>
      <c r="J124">
        <v>6999</v>
      </c>
      <c r="K124" t="s">
        <v>537</v>
      </c>
      <c r="L124">
        <v>40</v>
      </c>
      <c r="M124" t="s">
        <v>43</v>
      </c>
      <c r="N124" t="s">
        <v>65</v>
      </c>
      <c r="O124" t="s">
        <v>31</v>
      </c>
      <c r="P124" t="s">
        <v>32</v>
      </c>
      <c r="Q124" t="s">
        <v>31</v>
      </c>
      <c r="R124" s="1" t="d">
        <v>2024-11-09</v>
      </c>
      <c r="S124" t="s">
        <v>33</v>
      </c>
      <c r="T124" t="s">
        <v>46</v>
      </c>
      <c r="U124" t="s">
        <v>47</v>
      </c>
      <c r="V124" s="1" t="d">
        <v>2024-12-03</v>
      </c>
      <c r="W124" t="s">
        <v>48</v>
      </c>
    </row>
    <row r="125" spans="1:23">
      <c r="A125" t="s">
        <v>584</v>
      </c>
      <c r="B125" s="1" t="d">
        <v>2024-10-30</v>
      </c>
      <c r="C125" t="s">
        <v>585</v>
      </c>
      <c r="D125" t="s">
        <v>38</v>
      </c>
      <c r="E125" t="s">
        <v>586</v>
      </c>
      <c r="F125" t="s">
        <v>61</v>
      </c>
      <c r="G125" t="s">
        <v>587</v>
      </c>
      <c r="H125">
        <v>4999</v>
      </c>
      <c r="I125">
        <v>1</v>
      </c>
      <c r="J125">
        <v>4999</v>
      </c>
      <c r="K125" t="s">
        <v>537</v>
      </c>
      <c r="L125">
        <v>40</v>
      </c>
      <c r="M125" t="s">
        <v>64</v>
      </c>
      <c r="N125" t="s">
        <v>44</v>
      </c>
      <c r="O125" t="s">
        <v>45</v>
      </c>
      <c r="P125" t="s">
        <v>45</v>
      </c>
      <c r="Q125" t="s">
        <v>45</v>
      </c>
      <c r="R125" s="1" t="d">
        <v>2024-11-10</v>
      </c>
      <c r="S125" t="s">
        <v>33</v>
      </c>
      <c r="T125" t="s">
        <v>34</v>
      </c>
      <c r="W125" t="s">
        <v>35</v>
      </c>
    </row>
    <row r="126" spans="1:23">
      <c r="A126" t="s">
        <v>588</v>
      </c>
      <c r="B126" s="1" t="d">
        <v>2024-10-30</v>
      </c>
      <c r="C126" t="s">
        <v>589</v>
      </c>
      <c r="D126" t="s">
        <v>25</v>
      </c>
      <c r="E126" t="s">
        <v>590</v>
      </c>
      <c r="F126" t="s">
        <v>71</v>
      </c>
      <c r="G126" t="s">
        <v>591</v>
      </c>
      <c r="H126">
        <v>899</v>
      </c>
      <c r="I126">
        <v>1</v>
      </c>
      <c r="J126">
        <v>899</v>
      </c>
      <c r="K126" t="s">
        <v>537</v>
      </c>
      <c r="L126">
        <v>40</v>
      </c>
      <c r="M126" t="s">
        <v>29</v>
      </c>
      <c r="N126" t="s">
        <v>30</v>
      </c>
      <c r="O126" t="s">
        <v>592</v>
      </c>
      <c r="P126" t="s">
        <v>113</v>
      </c>
      <c r="Q126" t="s">
        <v>45</v>
      </c>
      <c r="R126" s="1" t="d">
        <v>2024-11-10</v>
      </c>
      <c r="S126" t="s">
        <v>33</v>
      </c>
      <c r="T126" t="s">
        <v>34</v>
      </c>
      <c r="W126" t="s">
        <v>35</v>
      </c>
    </row>
    <row r="127" spans="1:23">
      <c r="A127" t="s">
        <v>593</v>
      </c>
      <c r="B127" s="1" t="d">
        <v>2024-10-30</v>
      </c>
      <c r="C127" t="s">
        <v>594</v>
      </c>
      <c r="D127" t="s">
        <v>25</v>
      </c>
      <c r="E127" t="s">
        <v>595</v>
      </c>
      <c r="F127" t="s">
        <v>27</v>
      </c>
      <c r="G127" t="s">
        <v>596</v>
      </c>
      <c r="H127">
        <v>3299</v>
      </c>
      <c r="I127">
        <v>1</v>
      </c>
      <c r="J127">
        <v>3299</v>
      </c>
      <c r="K127" t="s">
        <v>537</v>
      </c>
      <c r="L127">
        <v>40</v>
      </c>
      <c r="M127" t="s">
        <v>55</v>
      </c>
      <c r="N127" t="s">
        <v>65</v>
      </c>
      <c r="O127" t="s">
        <v>102</v>
      </c>
      <c r="P127" t="s">
        <v>103</v>
      </c>
      <c r="Q127" t="s">
        <v>45</v>
      </c>
      <c r="R127" s="1" t="d">
        <v>2024-11-12</v>
      </c>
      <c r="S127" t="s">
        <v>33</v>
      </c>
      <c r="T127" t="s">
        <v>46</v>
      </c>
      <c r="U127" t="s">
        <v>104</v>
      </c>
      <c r="V127" s="1" t="d">
        <v>2024-12-05</v>
      </c>
      <c r="W127" t="s">
        <v>105</v>
      </c>
    </row>
    <row r="128" spans="1:23">
      <c r="A128" t="s">
        <v>597</v>
      </c>
      <c r="B128" s="1" t="d">
        <v>2024-10-31</v>
      </c>
      <c r="C128" t="s">
        <v>598</v>
      </c>
      <c r="D128" t="s">
        <v>25</v>
      </c>
      <c r="E128" t="s">
        <v>599</v>
      </c>
      <c r="F128" t="s">
        <v>40</v>
      </c>
      <c r="G128" t="s">
        <v>600</v>
      </c>
      <c r="H128">
        <v>7499</v>
      </c>
      <c r="I128">
        <v>1</v>
      </c>
      <c r="J128">
        <v>7499</v>
      </c>
      <c r="K128" t="s">
        <v>537</v>
      </c>
      <c r="L128">
        <v>40</v>
      </c>
      <c r="M128" t="s">
        <v>43</v>
      </c>
      <c r="N128" t="s">
        <v>30</v>
      </c>
      <c r="O128" t="s">
        <v>112</v>
      </c>
      <c r="P128" t="s">
        <v>113</v>
      </c>
      <c r="Q128" t="s">
        <v>45</v>
      </c>
      <c r="R128" s="1" t="d">
        <v>2024-11-11</v>
      </c>
      <c r="S128" t="s">
        <v>33</v>
      </c>
      <c r="T128" t="s">
        <v>46</v>
      </c>
      <c r="U128" t="s">
        <v>47</v>
      </c>
      <c r="V128" s="1" t="d">
        <v>2024-12-04</v>
      </c>
      <c r="W128" t="s">
        <v>48</v>
      </c>
    </row>
    <row r="129" spans="1:23">
      <c r="A129" t="s">
        <v>601</v>
      </c>
      <c r="B129" s="1" t="d">
        <v>2024-10-31</v>
      </c>
      <c r="C129" t="s">
        <v>602</v>
      </c>
      <c r="D129" t="s">
        <v>25</v>
      </c>
      <c r="E129" t="s">
        <v>603</v>
      </c>
      <c r="F129" t="s">
        <v>53</v>
      </c>
      <c r="G129" t="s">
        <v>604</v>
      </c>
      <c r="H129">
        <v>3299</v>
      </c>
      <c r="I129">
        <v>1</v>
      </c>
      <c r="J129">
        <v>3299</v>
      </c>
      <c r="K129" t="s">
        <v>537</v>
      </c>
      <c r="L129">
        <v>40</v>
      </c>
      <c r="M129" t="s">
        <v>29</v>
      </c>
      <c r="N129" t="s">
        <v>44</v>
      </c>
      <c r="O129" t="s">
        <v>118</v>
      </c>
      <c r="P129" t="s">
        <v>119</v>
      </c>
      <c r="Q129" t="s">
        <v>45</v>
      </c>
      <c r="R129" s="1" t="d">
        <v>2024-11-12</v>
      </c>
      <c r="S129" t="s">
        <v>33</v>
      </c>
      <c r="T129" t="s">
        <v>46</v>
      </c>
      <c r="U129" t="s">
        <v>79</v>
      </c>
      <c r="V129" s="1" t="d">
        <v>2024-12-06</v>
      </c>
      <c r="W129" t="s">
        <v>48</v>
      </c>
    </row>
    <row r="130" spans="1:23">
      <c r="A130" t="s">
        <v>605</v>
      </c>
      <c r="B130" s="1" t="d">
        <v>2024-10-31</v>
      </c>
      <c r="C130" t="s">
        <v>606</v>
      </c>
      <c r="D130" t="s">
        <v>38</v>
      </c>
      <c r="E130" t="s">
        <v>405</v>
      </c>
      <c r="F130" t="s">
        <v>61</v>
      </c>
      <c r="G130" t="s">
        <v>607</v>
      </c>
      <c r="H130">
        <v>5499</v>
      </c>
      <c r="I130">
        <v>1</v>
      </c>
      <c r="J130">
        <v>5499</v>
      </c>
      <c r="K130" t="s">
        <v>537</v>
      </c>
      <c r="L130">
        <v>40</v>
      </c>
      <c r="M130" t="s">
        <v>64</v>
      </c>
      <c r="N130" t="s">
        <v>65</v>
      </c>
      <c r="O130" t="s">
        <v>137</v>
      </c>
      <c r="P130" t="s">
        <v>113</v>
      </c>
      <c r="Q130" t="s">
        <v>45</v>
      </c>
      <c r="R130" s="1" t="d">
        <v>2024-11-13</v>
      </c>
      <c r="S130" t="s">
        <v>33</v>
      </c>
      <c r="T130" t="s">
        <v>46</v>
      </c>
      <c r="U130" t="s">
        <v>68</v>
      </c>
      <c r="V130" s="1" t="d">
        <v>2024-12-08</v>
      </c>
      <c r="W130" t="s">
        <v>48</v>
      </c>
    </row>
    <row r="131" spans="1:23">
      <c r="A131" t="s">
        <v>608</v>
      </c>
      <c r="B131" s="1" t="d">
        <v>2024-10-31</v>
      </c>
      <c r="C131" t="s">
        <v>609</v>
      </c>
      <c r="D131" t="s">
        <v>25</v>
      </c>
      <c r="E131" t="s">
        <v>610</v>
      </c>
      <c r="F131" t="s">
        <v>71</v>
      </c>
      <c r="G131" t="s">
        <v>611</v>
      </c>
      <c r="H131">
        <v>1199</v>
      </c>
      <c r="I131">
        <v>1</v>
      </c>
      <c r="J131">
        <v>1199</v>
      </c>
      <c r="K131" t="s">
        <v>537</v>
      </c>
      <c r="L131">
        <v>40</v>
      </c>
      <c r="M131" t="s">
        <v>55</v>
      </c>
      <c r="N131" t="s">
        <v>30</v>
      </c>
      <c r="O131" t="s">
        <v>143</v>
      </c>
      <c r="P131" t="s">
        <v>144</v>
      </c>
      <c r="Q131" t="s">
        <v>45</v>
      </c>
      <c r="S131" t="s">
        <v>120</v>
      </c>
      <c r="T131" t="s">
        <v>34</v>
      </c>
      <c r="W131" t="s">
        <v>35</v>
      </c>
    </row>
    <row r="132" spans="1:23">
      <c r="A132" t="s">
        <v>612</v>
      </c>
      <c r="B132" s="1" t="d">
        <v>2024-10-31</v>
      </c>
      <c r="C132" t="s">
        <v>613</v>
      </c>
      <c r="D132" t="s">
        <v>25</v>
      </c>
      <c r="E132" t="s">
        <v>614</v>
      </c>
      <c r="F132" t="s">
        <v>27</v>
      </c>
      <c r="G132" t="s">
        <v>615</v>
      </c>
      <c r="H132">
        <v>2799</v>
      </c>
      <c r="I132">
        <v>1</v>
      </c>
      <c r="J132">
        <v>2799</v>
      </c>
      <c r="K132" t="s">
        <v>537</v>
      </c>
      <c r="L132">
        <v>40</v>
      </c>
      <c r="M132" t="s">
        <v>111</v>
      </c>
      <c r="N132" t="s">
        <v>44</v>
      </c>
      <c r="O132" t="s">
        <v>150</v>
      </c>
      <c r="P132" t="s">
        <v>151</v>
      </c>
      <c r="Q132" t="s">
        <v>31</v>
      </c>
      <c r="R132" s="1" t="d">
        <v>2024-11-12</v>
      </c>
      <c r="S132" t="s">
        <v>33</v>
      </c>
      <c r="T132" t="s">
        <v>46</v>
      </c>
      <c r="U132" t="s">
        <v>47</v>
      </c>
      <c r="V132" s="1" t="d">
        <v>2024-12-07</v>
      </c>
      <c r="W132" t="s">
        <v>48</v>
      </c>
    </row>
    <row r="133" spans="1:23">
      <c r="A133" t="s">
        <v>616</v>
      </c>
      <c r="B133" s="1" t="d">
        <v>2024-11-01</v>
      </c>
      <c r="C133" t="s">
        <v>617</v>
      </c>
      <c r="D133" t="s">
        <v>25</v>
      </c>
      <c r="E133" t="s">
        <v>618</v>
      </c>
      <c r="F133" t="s">
        <v>40</v>
      </c>
      <c r="G133" t="s">
        <v>619</v>
      </c>
      <c r="H133">
        <v>3899</v>
      </c>
      <c r="I133">
        <v>1</v>
      </c>
      <c r="J133">
        <v>3899</v>
      </c>
      <c r="K133" t="s">
        <v>537</v>
      </c>
      <c r="L133">
        <v>40</v>
      </c>
      <c r="M133" t="s">
        <v>43</v>
      </c>
      <c r="N133" t="s">
        <v>65</v>
      </c>
      <c r="O133" t="s">
        <v>156</v>
      </c>
      <c r="P133" t="s">
        <v>97</v>
      </c>
      <c r="Q133" t="s">
        <v>31</v>
      </c>
      <c r="R133" s="1" t="d">
        <v>2024-11-10</v>
      </c>
      <c r="S133" t="s">
        <v>33</v>
      </c>
      <c r="T133" t="s">
        <v>46</v>
      </c>
      <c r="U133" t="s">
        <v>104</v>
      </c>
      <c r="V133" s="1" t="d">
        <v>2024-12-05</v>
      </c>
      <c r="W133" t="s">
        <v>48</v>
      </c>
    </row>
    <row r="134" spans="1:23">
      <c r="A134" t="s">
        <v>620</v>
      </c>
      <c r="B134" s="1" t="d">
        <v>2024-11-01</v>
      </c>
      <c r="C134" t="s">
        <v>621</v>
      </c>
      <c r="D134" t="s">
        <v>25</v>
      </c>
      <c r="E134" t="s">
        <v>622</v>
      </c>
      <c r="F134" t="s">
        <v>53</v>
      </c>
      <c r="G134" t="s">
        <v>623</v>
      </c>
      <c r="H134">
        <v>2999</v>
      </c>
      <c r="I134">
        <v>1</v>
      </c>
      <c r="J134">
        <v>2999</v>
      </c>
      <c r="K134" t="s">
        <v>537</v>
      </c>
      <c r="L134">
        <v>40</v>
      </c>
      <c r="M134" t="s">
        <v>29</v>
      </c>
      <c r="N134" t="s">
        <v>30</v>
      </c>
      <c r="O134" t="s">
        <v>161</v>
      </c>
      <c r="P134" t="s">
        <v>162</v>
      </c>
      <c r="Q134" t="s">
        <v>45</v>
      </c>
      <c r="R134" s="1" t="d">
        <v>2024-11-11</v>
      </c>
      <c r="S134" t="s">
        <v>33</v>
      </c>
      <c r="T134" t="s">
        <v>34</v>
      </c>
      <c r="W134" t="s">
        <v>35</v>
      </c>
    </row>
    <row r="135" spans="1:23">
      <c r="A135" t="s">
        <v>624</v>
      </c>
      <c r="B135" s="1" t="d">
        <v>2024-11-01</v>
      </c>
      <c r="C135" t="s">
        <v>625</v>
      </c>
      <c r="D135" t="s">
        <v>38</v>
      </c>
      <c r="E135" t="s">
        <v>626</v>
      </c>
      <c r="F135" t="s">
        <v>61</v>
      </c>
      <c r="G135" t="s">
        <v>627</v>
      </c>
      <c r="H135">
        <v>6499</v>
      </c>
      <c r="I135">
        <v>1</v>
      </c>
      <c r="J135">
        <v>6499</v>
      </c>
      <c r="K135" t="s">
        <v>537</v>
      </c>
      <c r="L135">
        <v>40</v>
      </c>
      <c r="M135" t="s">
        <v>43</v>
      </c>
      <c r="N135" t="s">
        <v>44</v>
      </c>
      <c r="O135" t="s">
        <v>167</v>
      </c>
      <c r="P135" t="s">
        <v>151</v>
      </c>
      <c r="Q135" t="s">
        <v>31</v>
      </c>
      <c r="R135" s="1" t="d">
        <v>2024-11-13</v>
      </c>
      <c r="S135" t="s">
        <v>33</v>
      </c>
      <c r="T135" t="s">
        <v>46</v>
      </c>
      <c r="U135" t="s">
        <v>47</v>
      </c>
      <c r="V135" s="1" t="d">
        <v>2024-12-10</v>
      </c>
      <c r="W135" t="s">
        <v>48</v>
      </c>
    </row>
    <row r="136" spans="1:23">
      <c r="A136" t="s">
        <v>628</v>
      </c>
      <c r="B136" s="1" t="d">
        <v>2024-11-01</v>
      </c>
      <c r="C136" t="s">
        <v>629</v>
      </c>
      <c r="D136" t="s">
        <v>25</v>
      </c>
      <c r="E136" t="s">
        <v>630</v>
      </c>
      <c r="F136" t="s">
        <v>71</v>
      </c>
      <c r="G136" t="s">
        <v>631</v>
      </c>
      <c r="H136">
        <v>999</v>
      </c>
      <c r="I136">
        <v>2</v>
      </c>
      <c r="J136">
        <v>1998</v>
      </c>
      <c r="K136" t="s">
        <v>537</v>
      </c>
      <c r="L136">
        <v>40</v>
      </c>
      <c r="M136" t="s">
        <v>64</v>
      </c>
      <c r="N136" t="s">
        <v>65</v>
      </c>
      <c r="O136" t="s">
        <v>172</v>
      </c>
      <c r="P136" t="s">
        <v>32</v>
      </c>
      <c r="Q136" t="s">
        <v>31</v>
      </c>
      <c r="R136" s="1" t="d">
        <v>2024-11-11</v>
      </c>
      <c r="S136" t="s">
        <v>33</v>
      </c>
      <c r="T136" t="s">
        <v>34</v>
      </c>
      <c r="W136" t="s">
        <v>35</v>
      </c>
    </row>
    <row r="137" spans="1:23">
      <c r="A137" t="s">
        <v>632</v>
      </c>
      <c r="B137" s="1" t="d">
        <v>2024-11-02</v>
      </c>
      <c r="C137" t="s">
        <v>633</v>
      </c>
      <c r="D137" t="s">
        <v>25</v>
      </c>
      <c r="E137" t="s">
        <v>634</v>
      </c>
      <c r="F137" t="s">
        <v>27</v>
      </c>
      <c r="G137" t="s">
        <v>635</v>
      </c>
      <c r="H137">
        <v>2499</v>
      </c>
      <c r="I137">
        <v>1</v>
      </c>
      <c r="J137">
        <v>2499</v>
      </c>
      <c r="K137" t="s">
        <v>537</v>
      </c>
      <c r="L137">
        <v>40</v>
      </c>
      <c r="M137" t="s">
        <v>55</v>
      </c>
      <c r="N137" t="s">
        <v>30</v>
      </c>
      <c r="O137" t="s">
        <v>177</v>
      </c>
      <c r="P137" t="s">
        <v>67</v>
      </c>
      <c r="Q137" t="s">
        <v>56</v>
      </c>
      <c r="R137" s="1" t="d">
        <v>2024-11-12</v>
      </c>
      <c r="S137" t="s">
        <v>33</v>
      </c>
      <c r="T137" t="s">
        <v>46</v>
      </c>
      <c r="U137" t="s">
        <v>68</v>
      </c>
      <c r="V137" s="1" t="d">
        <v>2024-12-08</v>
      </c>
      <c r="W137" t="s">
        <v>48</v>
      </c>
    </row>
    <row r="138" spans="1:23">
      <c r="A138" t="s">
        <v>636</v>
      </c>
      <c r="B138" s="1" t="d">
        <v>2024-11-02</v>
      </c>
      <c r="C138" t="s">
        <v>637</v>
      </c>
      <c r="D138" t="s">
        <v>25</v>
      </c>
      <c r="E138" t="s">
        <v>638</v>
      </c>
      <c r="F138" t="s">
        <v>40</v>
      </c>
      <c r="G138" t="s">
        <v>639</v>
      </c>
      <c r="H138">
        <v>4599</v>
      </c>
      <c r="I138">
        <v>1</v>
      </c>
      <c r="J138">
        <v>4599</v>
      </c>
      <c r="K138" t="s">
        <v>537</v>
      </c>
      <c r="L138">
        <v>40</v>
      </c>
      <c r="M138" t="s">
        <v>29</v>
      </c>
      <c r="N138" t="s">
        <v>44</v>
      </c>
      <c r="O138" t="s">
        <v>182</v>
      </c>
      <c r="P138" t="s">
        <v>183</v>
      </c>
      <c r="Q138" t="s">
        <v>56</v>
      </c>
      <c r="R138" s="1" t="d">
        <v>2024-11-14</v>
      </c>
      <c r="S138" t="s">
        <v>33</v>
      </c>
      <c r="T138" t="s">
        <v>46</v>
      </c>
      <c r="U138" t="s">
        <v>47</v>
      </c>
      <c r="V138" s="1" t="d">
        <v>2024-12-12</v>
      </c>
      <c r="W138" t="s">
        <v>48</v>
      </c>
    </row>
    <row r="139" spans="1:23">
      <c r="A139" t="s">
        <v>640</v>
      </c>
      <c r="B139" s="1" t="d">
        <v>2024-11-02</v>
      </c>
      <c r="C139" t="s">
        <v>641</v>
      </c>
      <c r="D139" t="s">
        <v>25</v>
      </c>
      <c r="E139" t="s">
        <v>642</v>
      </c>
      <c r="F139" t="s">
        <v>53</v>
      </c>
      <c r="G139" t="s">
        <v>643</v>
      </c>
      <c r="H139">
        <v>1799</v>
      </c>
      <c r="I139">
        <v>1</v>
      </c>
      <c r="J139">
        <v>1799</v>
      </c>
      <c r="K139" t="s">
        <v>537</v>
      </c>
      <c r="L139">
        <v>40</v>
      </c>
      <c r="M139" t="s">
        <v>43</v>
      </c>
      <c r="N139" t="s">
        <v>65</v>
      </c>
      <c r="O139" t="s">
        <v>188</v>
      </c>
      <c r="P139" t="s">
        <v>189</v>
      </c>
      <c r="Q139" t="s">
        <v>56</v>
      </c>
      <c r="R139" s="1" t="d">
        <v>2024-11-13</v>
      </c>
      <c r="S139" t="s">
        <v>33</v>
      </c>
      <c r="T139" t="s">
        <v>34</v>
      </c>
      <c r="W139" t="s">
        <v>35</v>
      </c>
    </row>
    <row r="140" spans="1:23">
      <c r="A140" t="s">
        <v>644</v>
      </c>
      <c r="B140" s="1" t="d">
        <v>2024-11-02</v>
      </c>
      <c r="C140" t="s">
        <v>645</v>
      </c>
      <c r="D140" t="s">
        <v>38</v>
      </c>
      <c r="E140" t="s">
        <v>646</v>
      </c>
      <c r="F140" t="s">
        <v>61</v>
      </c>
      <c r="G140" t="s">
        <v>647</v>
      </c>
      <c r="H140">
        <v>7999</v>
      </c>
      <c r="I140">
        <v>1</v>
      </c>
      <c r="J140">
        <v>7999</v>
      </c>
      <c r="K140" t="s">
        <v>537</v>
      </c>
      <c r="L140">
        <v>40</v>
      </c>
      <c r="M140" t="s">
        <v>111</v>
      </c>
      <c r="N140" t="s">
        <v>30</v>
      </c>
      <c r="O140" t="s">
        <v>194</v>
      </c>
      <c r="P140" t="s">
        <v>183</v>
      </c>
      <c r="Q140" t="s">
        <v>56</v>
      </c>
      <c r="R140" s="1" t="d">
        <v>2024-11-15</v>
      </c>
      <c r="S140" t="s">
        <v>33</v>
      </c>
      <c r="T140" t="s">
        <v>46</v>
      </c>
      <c r="U140" t="s">
        <v>79</v>
      </c>
      <c r="V140" s="1" t="d">
        <v>2024-12-14</v>
      </c>
      <c r="W140" t="s">
        <v>48</v>
      </c>
    </row>
    <row r="141" spans="1:23">
      <c r="A141" t="s">
        <v>648</v>
      </c>
      <c r="B141" s="1" t="d">
        <v>2024-11-03</v>
      </c>
      <c r="C141" t="s">
        <v>649</v>
      </c>
      <c r="D141" t="s">
        <v>25</v>
      </c>
      <c r="E141" t="s">
        <v>650</v>
      </c>
      <c r="F141" t="s">
        <v>71</v>
      </c>
      <c r="G141" t="s">
        <v>651</v>
      </c>
      <c r="H141">
        <v>2499</v>
      </c>
      <c r="I141">
        <v>1</v>
      </c>
      <c r="J141">
        <v>2499</v>
      </c>
      <c r="K141" t="s">
        <v>537</v>
      </c>
      <c r="L141">
        <v>40</v>
      </c>
      <c r="M141" t="s">
        <v>64</v>
      </c>
      <c r="N141" t="s">
        <v>44</v>
      </c>
      <c r="O141" t="s">
        <v>199</v>
      </c>
      <c r="P141" t="s">
        <v>57</v>
      </c>
      <c r="Q141" t="s">
        <v>56</v>
      </c>
      <c r="R141" s="1" t="d">
        <v>2024-11-14</v>
      </c>
      <c r="S141" t="s">
        <v>33</v>
      </c>
      <c r="T141" t="s">
        <v>46</v>
      </c>
      <c r="U141" t="s">
        <v>138</v>
      </c>
      <c r="V141" s="1" t="d">
        <v>2024-12-12</v>
      </c>
      <c r="W141" t="s">
        <v>48</v>
      </c>
    </row>
    <row r="142" spans="1:23">
      <c r="A142" t="s">
        <v>652</v>
      </c>
      <c r="B142" s="1" t="d">
        <v>2024-11-03</v>
      </c>
      <c r="C142" t="s">
        <v>653</v>
      </c>
      <c r="D142" t="s">
        <v>25</v>
      </c>
      <c r="E142" t="s">
        <v>654</v>
      </c>
      <c r="F142" t="s">
        <v>27</v>
      </c>
      <c r="G142" t="s">
        <v>655</v>
      </c>
      <c r="H142">
        <v>2299</v>
      </c>
      <c r="I142">
        <v>1</v>
      </c>
      <c r="J142">
        <v>2299</v>
      </c>
      <c r="K142" t="s">
        <v>537</v>
      </c>
      <c r="L142">
        <v>40</v>
      </c>
      <c r="M142" t="s">
        <v>29</v>
      </c>
      <c r="N142" t="s">
        <v>65</v>
      </c>
      <c r="O142" t="s">
        <v>204</v>
      </c>
      <c r="P142" t="s">
        <v>97</v>
      </c>
      <c r="Q142" t="s">
        <v>31</v>
      </c>
      <c r="R142" s="1" t="d">
        <v>2024-11-15</v>
      </c>
      <c r="S142" t="s">
        <v>33</v>
      </c>
      <c r="T142" t="s">
        <v>46</v>
      </c>
      <c r="U142" t="s">
        <v>47</v>
      </c>
      <c r="V142" s="1" t="d">
        <v>2024-12-13</v>
      </c>
      <c r="W142" t="s">
        <v>48</v>
      </c>
    </row>
    <row r="143" spans="1:23">
      <c r="A143" t="s">
        <v>656</v>
      </c>
      <c r="B143" s="1" t="d">
        <v>2024-11-03</v>
      </c>
      <c r="C143" t="s">
        <v>657</v>
      </c>
      <c r="D143" t="s">
        <v>25</v>
      </c>
      <c r="E143" t="s">
        <v>476</v>
      </c>
      <c r="F143" t="s">
        <v>40</v>
      </c>
      <c r="G143" t="s">
        <v>658</v>
      </c>
      <c r="H143">
        <v>5999</v>
      </c>
      <c r="I143">
        <v>1</v>
      </c>
      <c r="J143">
        <v>5999</v>
      </c>
      <c r="K143" t="s">
        <v>537</v>
      </c>
      <c r="L143">
        <v>40</v>
      </c>
      <c r="M143" t="s">
        <v>43</v>
      </c>
      <c r="N143" t="s">
        <v>30</v>
      </c>
      <c r="O143" t="s">
        <v>209</v>
      </c>
      <c r="P143" t="s">
        <v>97</v>
      </c>
      <c r="Q143" t="s">
        <v>31</v>
      </c>
      <c r="R143" s="1" t="d">
        <v>2024-11-16</v>
      </c>
      <c r="S143" t="s">
        <v>33</v>
      </c>
      <c r="T143" t="s">
        <v>46</v>
      </c>
      <c r="U143" t="s">
        <v>104</v>
      </c>
      <c r="V143" s="1" t="d">
        <v>2024-12-15</v>
      </c>
      <c r="W143" t="s">
        <v>48</v>
      </c>
    </row>
    <row r="144" spans="1:23">
      <c r="A144" t="s">
        <v>659</v>
      </c>
      <c r="B144" s="1" t="d">
        <v>2024-11-03</v>
      </c>
      <c r="C144" t="s">
        <v>660</v>
      </c>
      <c r="D144" t="s">
        <v>38</v>
      </c>
      <c r="E144" t="s">
        <v>661</v>
      </c>
      <c r="F144" t="s">
        <v>53</v>
      </c>
      <c r="G144" t="s">
        <v>662</v>
      </c>
      <c r="H144">
        <v>2599</v>
      </c>
      <c r="I144">
        <v>1</v>
      </c>
      <c r="J144">
        <v>2599</v>
      </c>
      <c r="K144" t="s">
        <v>537</v>
      </c>
      <c r="L144">
        <v>40</v>
      </c>
      <c r="M144" t="s">
        <v>55</v>
      </c>
      <c r="N144" t="s">
        <v>44</v>
      </c>
      <c r="O144" t="s">
        <v>214</v>
      </c>
      <c r="P144" t="s">
        <v>113</v>
      </c>
      <c r="Q144" t="s">
        <v>45</v>
      </c>
      <c r="R144" s="1" t="d">
        <v>2024-11-15</v>
      </c>
      <c r="S144" t="s">
        <v>33</v>
      </c>
      <c r="T144" t="s">
        <v>34</v>
      </c>
      <c r="W144" t="s">
        <v>35</v>
      </c>
    </row>
    <row r="145" spans="1:23">
      <c r="A145" t="s">
        <v>663</v>
      </c>
      <c r="B145" s="1" t="d">
        <v>2024-11-04</v>
      </c>
      <c r="C145" t="s">
        <v>664</v>
      </c>
      <c r="D145" t="s">
        <v>25</v>
      </c>
      <c r="E145" t="s">
        <v>665</v>
      </c>
      <c r="F145" t="s">
        <v>61</v>
      </c>
      <c r="G145" t="s">
        <v>666</v>
      </c>
      <c r="H145">
        <v>4299</v>
      </c>
      <c r="I145">
        <v>1</v>
      </c>
      <c r="J145">
        <v>4299</v>
      </c>
      <c r="K145" t="s">
        <v>537</v>
      </c>
      <c r="L145">
        <v>40</v>
      </c>
      <c r="M145" t="s">
        <v>43</v>
      </c>
      <c r="N145" t="s">
        <v>65</v>
      </c>
      <c r="O145" t="s">
        <v>31</v>
      </c>
      <c r="P145" t="s">
        <v>32</v>
      </c>
      <c r="Q145" t="s">
        <v>31</v>
      </c>
      <c r="R145" s="1" t="d">
        <v>2024-11-17</v>
      </c>
      <c r="S145" t="s">
        <v>33</v>
      </c>
      <c r="T145" t="s">
        <v>46</v>
      </c>
      <c r="U145" t="s">
        <v>68</v>
      </c>
      <c r="V145" s="1" t="d">
        <v>2024-12-16</v>
      </c>
      <c r="W145" t="s">
        <v>48</v>
      </c>
    </row>
    <row r="146" spans="1:23">
      <c r="A146" t="s">
        <v>667</v>
      </c>
      <c r="B146" s="1" t="d">
        <v>2024-11-04</v>
      </c>
      <c r="C146" t="s">
        <v>668</v>
      </c>
      <c r="D146" t="s">
        <v>25</v>
      </c>
      <c r="E146" t="s">
        <v>669</v>
      </c>
      <c r="F146" t="s">
        <v>71</v>
      </c>
      <c r="G146" t="s">
        <v>670</v>
      </c>
      <c r="H146">
        <v>799</v>
      </c>
      <c r="I146">
        <v>1</v>
      </c>
      <c r="J146">
        <v>799</v>
      </c>
      <c r="K146" t="s">
        <v>537</v>
      </c>
      <c r="L146">
        <v>40</v>
      </c>
      <c r="M146" t="s">
        <v>29</v>
      </c>
      <c r="N146" t="s">
        <v>30</v>
      </c>
      <c r="O146" t="s">
        <v>45</v>
      </c>
      <c r="P146" t="s">
        <v>45</v>
      </c>
      <c r="Q146" t="s">
        <v>45</v>
      </c>
      <c r="R146" s="1" t="d">
        <v>2024-11-16</v>
      </c>
      <c r="S146" t="s">
        <v>33</v>
      </c>
      <c r="T146" t="s">
        <v>34</v>
      </c>
      <c r="W146" t="s">
        <v>35</v>
      </c>
    </row>
    <row r="147" spans="1:23">
      <c r="A147" t="s">
        <v>671</v>
      </c>
      <c r="B147" s="1" t="d">
        <v>2024-11-04</v>
      </c>
      <c r="C147" t="s">
        <v>672</v>
      </c>
      <c r="D147" t="s">
        <v>25</v>
      </c>
      <c r="E147" t="s">
        <v>673</v>
      </c>
      <c r="F147" t="s">
        <v>27</v>
      </c>
      <c r="G147" t="s">
        <v>674</v>
      </c>
      <c r="H147">
        <v>1899</v>
      </c>
      <c r="I147">
        <v>1</v>
      </c>
      <c r="J147">
        <v>1899</v>
      </c>
      <c r="K147" t="s">
        <v>537</v>
      </c>
      <c r="L147">
        <v>40</v>
      </c>
      <c r="M147" t="s">
        <v>111</v>
      </c>
      <c r="N147" t="s">
        <v>44</v>
      </c>
      <c r="O147" t="s">
        <v>90</v>
      </c>
      <c r="P147" t="s">
        <v>91</v>
      </c>
      <c r="Q147" t="s">
        <v>45</v>
      </c>
      <c r="R147" s="1" t="d">
        <v>2024-11-17</v>
      </c>
      <c r="S147" t="s">
        <v>33</v>
      </c>
      <c r="T147" t="s">
        <v>46</v>
      </c>
      <c r="U147" t="s">
        <v>47</v>
      </c>
      <c r="V147" s="1" t="d">
        <v>2024-12-15</v>
      </c>
      <c r="W147" t="s">
        <v>48</v>
      </c>
    </row>
    <row r="148" spans="1:23">
      <c r="A148" t="s">
        <v>675</v>
      </c>
      <c r="B148" s="1" t="d">
        <v>2024-11-05</v>
      </c>
      <c r="C148" t="s">
        <v>676</v>
      </c>
      <c r="D148" t="s">
        <v>25</v>
      </c>
      <c r="E148" t="s">
        <v>677</v>
      </c>
      <c r="F148" t="s">
        <v>40</v>
      </c>
      <c r="G148" t="s">
        <v>678</v>
      </c>
      <c r="H148">
        <v>4899</v>
      </c>
      <c r="I148">
        <v>1</v>
      </c>
      <c r="J148">
        <v>4899</v>
      </c>
      <c r="K148" t="s">
        <v>537</v>
      </c>
      <c r="L148">
        <v>40</v>
      </c>
      <c r="M148" t="s">
        <v>64</v>
      </c>
      <c r="N148" t="s">
        <v>65</v>
      </c>
      <c r="O148" t="s">
        <v>66</v>
      </c>
      <c r="P148" t="s">
        <v>67</v>
      </c>
      <c r="Q148" t="s">
        <v>56</v>
      </c>
      <c r="R148" s="1" t="d">
        <v>2024-11-18</v>
      </c>
      <c r="S148" t="s">
        <v>33</v>
      </c>
      <c r="T148" t="s">
        <v>46</v>
      </c>
      <c r="U148" t="s">
        <v>79</v>
      </c>
      <c r="V148" s="1" t="d">
        <v>2024-12-17</v>
      </c>
      <c r="W148" t="s">
        <v>48</v>
      </c>
    </row>
    <row r="149" spans="1:23">
      <c r="A149" t="s">
        <v>679</v>
      </c>
      <c r="B149" s="1" t="d">
        <v>2024-11-05</v>
      </c>
      <c r="C149" t="s">
        <v>680</v>
      </c>
      <c r="D149" t="s">
        <v>38</v>
      </c>
      <c r="E149" t="s">
        <v>681</v>
      </c>
      <c r="F149" t="s">
        <v>53</v>
      </c>
      <c r="G149" t="s">
        <v>682</v>
      </c>
      <c r="H149">
        <v>1499</v>
      </c>
      <c r="I149">
        <v>1</v>
      </c>
      <c r="J149">
        <v>1499</v>
      </c>
      <c r="K149" t="s">
        <v>537</v>
      </c>
      <c r="L149">
        <v>40</v>
      </c>
      <c r="M149" t="s">
        <v>43</v>
      </c>
      <c r="N149" t="s">
        <v>30</v>
      </c>
      <c r="O149" t="s">
        <v>77</v>
      </c>
      <c r="P149" t="s">
        <v>78</v>
      </c>
      <c r="Q149" t="s">
        <v>56</v>
      </c>
      <c r="R149" s="1" t="d">
        <v>2024-11-17</v>
      </c>
      <c r="S149" t="s">
        <v>33</v>
      </c>
      <c r="T149" t="s">
        <v>34</v>
      </c>
      <c r="W149" t="s">
        <v>35</v>
      </c>
    </row>
    <row r="150" spans="1:23">
      <c r="A150" t="s">
        <v>683</v>
      </c>
      <c r="B150" s="1" t="d">
        <v>2024-11-05</v>
      </c>
      <c r="C150" t="s">
        <v>684</v>
      </c>
      <c r="D150" t="s">
        <v>25</v>
      </c>
      <c r="E150" t="s">
        <v>685</v>
      </c>
      <c r="F150" t="s">
        <v>61</v>
      </c>
      <c r="G150" t="s">
        <v>686</v>
      </c>
      <c r="H150">
        <v>5699</v>
      </c>
      <c r="I150">
        <v>1</v>
      </c>
      <c r="J150">
        <v>5699</v>
      </c>
      <c r="K150" t="s">
        <v>537</v>
      </c>
      <c r="L150">
        <v>40</v>
      </c>
      <c r="M150" t="s">
        <v>29</v>
      </c>
      <c r="N150" t="s">
        <v>44</v>
      </c>
      <c r="O150" t="s">
        <v>84</v>
      </c>
      <c r="P150" t="s">
        <v>32</v>
      </c>
      <c r="Q150" t="s">
        <v>31</v>
      </c>
      <c r="R150" s="1" t="d">
        <v>2024-11-19</v>
      </c>
      <c r="S150" t="s">
        <v>33</v>
      </c>
      <c r="T150" t="s">
        <v>46</v>
      </c>
      <c r="U150" t="s">
        <v>47</v>
      </c>
      <c r="V150" s="1" t="d">
        <v>2024-12-18</v>
      </c>
      <c r="W150" t="s">
        <v>48</v>
      </c>
    </row>
    <row r="151" spans="1:23">
      <c r="A151" t="s">
        <v>687</v>
      </c>
      <c r="B151" s="1" t="d">
        <v>2024-11-05</v>
      </c>
      <c r="C151" t="s">
        <v>688</v>
      </c>
      <c r="D151" t="s">
        <v>25</v>
      </c>
      <c r="E151" t="s">
        <v>689</v>
      </c>
      <c r="F151" t="s">
        <v>71</v>
      </c>
      <c r="G151" t="s">
        <v>690</v>
      </c>
      <c r="H151">
        <v>599</v>
      </c>
      <c r="I151">
        <v>4</v>
      </c>
      <c r="J151">
        <v>2396</v>
      </c>
      <c r="K151" t="s">
        <v>537</v>
      </c>
      <c r="L151">
        <v>40</v>
      </c>
      <c r="M151" t="s">
        <v>55</v>
      </c>
      <c r="N151" t="s">
        <v>65</v>
      </c>
      <c r="O151" t="s">
        <v>96</v>
      </c>
      <c r="P151" t="s">
        <v>97</v>
      </c>
      <c r="Q151" t="s">
        <v>31</v>
      </c>
      <c r="R151" s="1" t="d">
        <v>2024-11-18</v>
      </c>
      <c r="S151" t="s">
        <v>33</v>
      </c>
      <c r="T151" t="s">
        <v>46</v>
      </c>
      <c r="U151" t="s">
        <v>138</v>
      </c>
      <c r="V151" s="1" t="d">
        <v>2024-12-16</v>
      </c>
      <c r="W151" t="s">
        <v>48</v>
      </c>
    </row>
    <row r="152" spans="1:23">
      <c r="A152" t="s">
        <v>691</v>
      </c>
      <c r="B152" s="1" t="d">
        <v>2024-11-06</v>
      </c>
      <c r="C152" t="s">
        <v>692</v>
      </c>
      <c r="D152" t="s">
        <v>25</v>
      </c>
      <c r="E152" t="s">
        <v>693</v>
      </c>
      <c r="F152" t="s">
        <v>27</v>
      </c>
      <c r="G152" t="s">
        <v>694</v>
      </c>
      <c r="H152">
        <v>2999</v>
      </c>
      <c r="I152">
        <v>1</v>
      </c>
      <c r="J152">
        <v>2999</v>
      </c>
      <c r="L152">
        <v>0</v>
      </c>
      <c r="M152" t="s">
        <v>43</v>
      </c>
      <c r="N152" t="s">
        <v>30</v>
      </c>
      <c r="O152" t="s">
        <v>102</v>
      </c>
      <c r="P152" t="s">
        <v>103</v>
      </c>
      <c r="Q152" t="s">
        <v>45</v>
      </c>
      <c r="R152" s="1" t="d">
        <v>2024-11-19</v>
      </c>
      <c r="S152" t="s">
        <v>33</v>
      </c>
      <c r="T152" t="s">
        <v>34</v>
      </c>
      <c r="W152" t="s">
        <v>35</v>
      </c>
    </row>
    <row r="153" spans="1:23">
      <c r="A153" t="s">
        <v>695</v>
      </c>
      <c r="B153" s="1" t="d">
        <v>2024-11-06</v>
      </c>
      <c r="C153" t="s">
        <v>696</v>
      </c>
      <c r="D153" t="s">
        <v>25</v>
      </c>
      <c r="E153" t="s">
        <v>697</v>
      </c>
      <c r="F153" t="s">
        <v>40</v>
      </c>
      <c r="G153" t="s">
        <v>698</v>
      </c>
      <c r="H153">
        <v>2799</v>
      </c>
      <c r="I153">
        <v>1</v>
      </c>
      <c r="J153">
        <v>2799</v>
      </c>
      <c r="L153">
        <v>0</v>
      </c>
      <c r="M153" t="s">
        <v>29</v>
      </c>
      <c r="N153" t="s">
        <v>44</v>
      </c>
      <c r="O153" t="s">
        <v>112</v>
      </c>
      <c r="P153" t="s">
        <v>113</v>
      </c>
      <c r="Q153" t="s">
        <v>45</v>
      </c>
      <c r="R153" s="1" t="d">
        <v>2024-11-20</v>
      </c>
      <c r="S153" t="s">
        <v>33</v>
      </c>
      <c r="T153" t="s">
        <v>46</v>
      </c>
      <c r="U153" t="s">
        <v>68</v>
      </c>
      <c r="V153" s="1" t="d">
        <v>2024-12-18</v>
      </c>
      <c r="W153" t="s">
        <v>48</v>
      </c>
    </row>
    <row r="154" spans="1:23">
      <c r="A154" t="s">
        <v>699</v>
      </c>
      <c r="B154" s="1" t="d">
        <v>2024-11-06</v>
      </c>
      <c r="C154" t="s">
        <v>700</v>
      </c>
      <c r="D154" t="s">
        <v>38</v>
      </c>
      <c r="E154" t="s">
        <v>701</v>
      </c>
      <c r="F154" t="s">
        <v>53</v>
      </c>
      <c r="G154" t="s">
        <v>702</v>
      </c>
      <c r="H154">
        <v>1699</v>
      </c>
      <c r="I154">
        <v>1</v>
      </c>
      <c r="J154">
        <v>1699</v>
      </c>
      <c r="K154" s="2" t="d">
        <v>2015-11-01</v>
      </c>
      <c r="L154">
        <v>15</v>
      </c>
      <c r="M154" t="s">
        <v>64</v>
      </c>
      <c r="N154" t="s">
        <v>65</v>
      </c>
      <c r="O154" t="s">
        <v>56</v>
      </c>
      <c r="P154" t="s">
        <v>57</v>
      </c>
      <c r="Q154" t="s">
        <v>56</v>
      </c>
      <c r="R154" s="1" t="d">
        <v>2024-11-18</v>
      </c>
      <c r="S154" t="s">
        <v>33</v>
      </c>
      <c r="T154" t="s">
        <v>34</v>
      </c>
      <c r="W154" t="s">
        <v>35</v>
      </c>
    </row>
    <row r="155" spans="1:23">
      <c r="A155" t="s">
        <v>703</v>
      </c>
      <c r="B155" s="1" t="d">
        <v>2024-11-07</v>
      </c>
      <c r="C155" t="s">
        <v>704</v>
      </c>
      <c r="D155" t="s">
        <v>25</v>
      </c>
      <c r="E155" t="s">
        <v>705</v>
      </c>
      <c r="F155" t="s">
        <v>61</v>
      </c>
      <c r="G155" t="s">
        <v>706</v>
      </c>
      <c r="H155">
        <v>4599</v>
      </c>
      <c r="I155">
        <v>1</v>
      </c>
      <c r="J155">
        <v>4599</v>
      </c>
      <c r="L155">
        <v>0</v>
      </c>
      <c r="M155" t="s">
        <v>43</v>
      </c>
      <c r="N155" t="s">
        <v>30</v>
      </c>
      <c r="O155" t="s">
        <v>31</v>
      </c>
      <c r="P155" t="s">
        <v>32</v>
      </c>
      <c r="Q155" t="s">
        <v>31</v>
      </c>
      <c r="R155" s="1" t="d">
        <v>2024-11-21</v>
      </c>
      <c r="S155" t="s">
        <v>33</v>
      </c>
      <c r="T155" t="s">
        <v>46</v>
      </c>
      <c r="U155" t="s">
        <v>47</v>
      </c>
      <c r="V155" s="1" t="d">
        <v>2024-12-20</v>
      </c>
      <c r="W155" t="s">
        <v>48</v>
      </c>
    </row>
    <row r="156" spans="1:23">
      <c r="A156" t="s">
        <v>707</v>
      </c>
      <c r="B156" s="1" t="d">
        <v>2024-11-07</v>
      </c>
      <c r="C156" t="s">
        <v>708</v>
      </c>
      <c r="D156" t="s">
        <v>25</v>
      </c>
      <c r="E156" t="s">
        <v>709</v>
      </c>
      <c r="F156" t="s">
        <v>71</v>
      </c>
      <c r="G156" t="s">
        <v>710</v>
      </c>
      <c r="H156">
        <v>899</v>
      </c>
      <c r="I156">
        <v>1</v>
      </c>
      <c r="J156">
        <v>899</v>
      </c>
      <c r="L156">
        <v>0</v>
      </c>
      <c r="M156" t="s">
        <v>55</v>
      </c>
      <c r="N156" t="s">
        <v>44</v>
      </c>
      <c r="O156" t="s">
        <v>45</v>
      </c>
      <c r="P156" t="s">
        <v>45</v>
      </c>
      <c r="Q156" t="s">
        <v>45</v>
      </c>
      <c r="R156" s="1" t="d">
        <v>2024-11-19</v>
      </c>
      <c r="S156" t="s">
        <v>33</v>
      </c>
      <c r="T156" t="s">
        <v>34</v>
      </c>
      <c r="W156" t="s">
        <v>35</v>
      </c>
    </row>
    <row r="157" spans="1:23">
      <c r="A157" t="s">
        <v>711</v>
      </c>
      <c r="B157" s="1" t="d">
        <v>2024-11-07</v>
      </c>
      <c r="C157" t="s">
        <v>712</v>
      </c>
      <c r="D157" t="s">
        <v>25</v>
      </c>
      <c r="E157" t="s">
        <v>713</v>
      </c>
      <c r="F157" t="s">
        <v>27</v>
      </c>
      <c r="G157" t="s">
        <v>714</v>
      </c>
      <c r="H157">
        <v>1799</v>
      </c>
      <c r="I157">
        <v>1</v>
      </c>
      <c r="J157">
        <v>1799</v>
      </c>
      <c r="K157" s="2" t="d">
        <v>2015-11-01</v>
      </c>
      <c r="L157">
        <v>15</v>
      </c>
      <c r="M157" t="s">
        <v>29</v>
      </c>
      <c r="N157" t="s">
        <v>65</v>
      </c>
      <c r="O157" t="s">
        <v>118</v>
      </c>
      <c r="P157" t="s">
        <v>119</v>
      </c>
      <c r="Q157" t="s">
        <v>45</v>
      </c>
      <c r="R157" s="1" t="d">
        <v>2024-11-20</v>
      </c>
      <c r="S157" t="s">
        <v>33</v>
      </c>
      <c r="T157" t="s">
        <v>46</v>
      </c>
      <c r="U157" t="s">
        <v>104</v>
      </c>
      <c r="V157" s="1" t="d">
        <v>2024-12-19</v>
      </c>
      <c r="W157" t="s">
        <v>48</v>
      </c>
    </row>
    <row r="158" spans="1:23">
      <c r="A158" t="s">
        <v>715</v>
      </c>
      <c r="B158" s="1" t="d">
        <v>2024-11-08</v>
      </c>
      <c r="C158" t="s">
        <v>716</v>
      </c>
      <c r="D158" t="s">
        <v>25</v>
      </c>
      <c r="E158" t="s">
        <v>717</v>
      </c>
      <c r="F158" t="s">
        <v>40</v>
      </c>
      <c r="G158" t="s">
        <v>718</v>
      </c>
      <c r="H158">
        <v>2599</v>
      </c>
      <c r="I158">
        <v>1</v>
      </c>
      <c r="J158">
        <v>2599</v>
      </c>
      <c r="L158">
        <v>0</v>
      </c>
      <c r="M158" t="s">
        <v>111</v>
      </c>
      <c r="N158" t="s">
        <v>30</v>
      </c>
      <c r="O158" t="s">
        <v>137</v>
      </c>
      <c r="P158" t="s">
        <v>113</v>
      </c>
      <c r="Q158" t="s">
        <v>45</v>
      </c>
      <c r="R158" s="1" t="d">
        <v>2024-11-22</v>
      </c>
      <c r="S158" t="s">
        <v>33</v>
      </c>
      <c r="T158" t="s">
        <v>34</v>
      </c>
      <c r="W158" t="s">
        <v>35</v>
      </c>
    </row>
    <row r="159" spans="1:23">
      <c r="A159" t="s">
        <v>719</v>
      </c>
      <c r="B159" s="1" t="d">
        <v>2024-11-08</v>
      </c>
      <c r="C159" t="s">
        <v>720</v>
      </c>
      <c r="D159" t="s">
        <v>38</v>
      </c>
      <c r="E159" t="s">
        <v>721</v>
      </c>
      <c r="F159" t="s">
        <v>53</v>
      </c>
      <c r="G159" t="s">
        <v>722</v>
      </c>
      <c r="H159">
        <v>1599</v>
      </c>
      <c r="I159">
        <v>1</v>
      </c>
      <c r="J159">
        <v>1599</v>
      </c>
      <c r="L159">
        <v>0</v>
      </c>
      <c r="M159" t="s">
        <v>43</v>
      </c>
      <c r="N159" t="s">
        <v>44</v>
      </c>
      <c r="O159" t="s">
        <v>143</v>
      </c>
      <c r="P159" t="s">
        <v>144</v>
      </c>
      <c r="Q159" t="s">
        <v>45</v>
      </c>
      <c r="R159" s="1" t="d">
        <v>2024-11-20</v>
      </c>
      <c r="S159" t="s">
        <v>33</v>
      </c>
      <c r="T159" t="s">
        <v>46</v>
      </c>
      <c r="U159" t="s">
        <v>79</v>
      </c>
      <c r="V159" s="1" t="d">
        <v>2024-12-18</v>
      </c>
      <c r="W159" t="s">
        <v>48</v>
      </c>
    </row>
    <row r="160" spans="1:23">
      <c r="A160" t="s">
        <v>723</v>
      </c>
      <c r="B160" s="1" t="d">
        <v>2024-11-08</v>
      </c>
      <c r="C160" t="s">
        <v>724</v>
      </c>
      <c r="D160" t="s">
        <v>25</v>
      </c>
      <c r="E160" t="s">
        <v>725</v>
      </c>
      <c r="F160" t="s">
        <v>61</v>
      </c>
      <c r="G160" t="s">
        <v>726</v>
      </c>
      <c r="H160">
        <v>5299</v>
      </c>
      <c r="I160">
        <v>1</v>
      </c>
      <c r="J160">
        <v>5299</v>
      </c>
      <c r="K160" s="2" t="d">
        <v>2015-11-01</v>
      </c>
      <c r="L160">
        <v>15</v>
      </c>
      <c r="M160" t="s">
        <v>64</v>
      </c>
      <c r="N160" t="s">
        <v>65</v>
      </c>
      <c r="O160" t="s">
        <v>150</v>
      </c>
      <c r="P160" t="s">
        <v>151</v>
      </c>
      <c r="Q160" t="s">
        <v>31</v>
      </c>
      <c r="R160" s="1" t="d">
        <v>2024-11-23</v>
      </c>
      <c r="S160" t="s">
        <v>33</v>
      </c>
      <c r="T160" t="s">
        <v>34</v>
      </c>
      <c r="W160" t="s">
        <v>35</v>
      </c>
    </row>
    <row r="161" spans="1:23">
      <c r="A161" t="s">
        <v>727</v>
      </c>
      <c r="B161" s="1" t="d">
        <v>2024-11-09</v>
      </c>
      <c r="C161" t="s">
        <v>728</v>
      </c>
      <c r="D161" t="s">
        <v>25</v>
      </c>
      <c r="E161" t="s">
        <v>729</v>
      </c>
      <c r="F161" t="s">
        <v>71</v>
      </c>
      <c r="G161" t="s">
        <v>730</v>
      </c>
      <c r="H161">
        <v>499</v>
      </c>
      <c r="I161">
        <v>3</v>
      </c>
      <c r="J161">
        <v>1497</v>
      </c>
      <c r="L161">
        <v>0</v>
      </c>
      <c r="M161" t="s">
        <v>29</v>
      </c>
      <c r="N161" t="s">
        <v>30</v>
      </c>
      <c r="O161" t="s">
        <v>156</v>
      </c>
      <c r="P161" t="s">
        <v>97</v>
      </c>
      <c r="Q161" t="s">
        <v>31</v>
      </c>
      <c r="R161" s="1" t="d">
        <v>2024-11-21</v>
      </c>
      <c r="S161" t="s">
        <v>33</v>
      </c>
      <c r="T161" t="s">
        <v>46</v>
      </c>
      <c r="U161" t="s">
        <v>138</v>
      </c>
      <c r="V161" s="1" t="d">
        <v>2024-12-19</v>
      </c>
      <c r="W161" t="s">
        <v>48</v>
      </c>
    </row>
    <row r="162" spans="1:23">
      <c r="A162" t="s">
        <v>731</v>
      </c>
      <c r="B162" s="1" t="d">
        <v>2024-11-09</v>
      </c>
      <c r="C162" t="s">
        <v>732</v>
      </c>
      <c r="D162" t="s">
        <v>25</v>
      </c>
      <c r="E162" t="s">
        <v>733</v>
      </c>
      <c r="F162" t="s">
        <v>27</v>
      </c>
      <c r="G162" t="s">
        <v>734</v>
      </c>
      <c r="H162">
        <v>2099</v>
      </c>
      <c r="I162">
        <v>1</v>
      </c>
      <c r="J162">
        <v>2099</v>
      </c>
      <c r="L162">
        <v>0</v>
      </c>
      <c r="M162" t="s">
        <v>55</v>
      </c>
      <c r="N162" t="s">
        <v>44</v>
      </c>
      <c r="O162" t="s">
        <v>161</v>
      </c>
      <c r="P162" t="s">
        <v>162</v>
      </c>
      <c r="Q162" t="s">
        <v>45</v>
      </c>
      <c r="S162" t="s">
        <v>120</v>
      </c>
      <c r="T162" t="s">
        <v>34</v>
      </c>
      <c r="W162" t="s">
        <v>35</v>
      </c>
    </row>
    <row r="163" spans="1:23">
      <c r="A163" t="s">
        <v>735</v>
      </c>
      <c r="B163" s="1" t="d">
        <v>2024-11-09</v>
      </c>
      <c r="C163" t="s">
        <v>736</v>
      </c>
      <c r="D163" t="s">
        <v>25</v>
      </c>
      <c r="E163" t="s">
        <v>737</v>
      </c>
      <c r="F163" t="s">
        <v>40</v>
      </c>
      <c r="G163" t="s">
        <v>738</v>
      </c>
      <c r="H163">
        <v>2399</v>
      </c>
      <c r="I163">
        <v>1</v>
      </c>
      <c r="J163">
        <v>2399</v>
      </c>
      <c r="K163" s="2" t="d">
        <v>2015-11-01</v>
      </c>
      <c r="L163">
        <v>15</v>
      </c>
      <c r="M163" t="s">
        <v>43</v>
      </c>
      <c r="N163" t="s">
        <v>65</v>
      </c>
      <c r="O163" t="s">
        <v>167</v>
      </c>
      <c r="P163" t="s">
        <v>151</v>
      </c>
      <c r="Q163" t="s">
        <v>31</v>
      </c>
      <c r="R163" s="1" t="d">
        <v>2024-11-24</v>
      </c>
      <c r="S163" t="s">
        <v>33</v>
      </c>
      <c r="T163" t="s">
        <v>46</v>
      </c>
      <c r="U163" t="s">
        <v>47</v>
      </c>
      <c r="V163" s="1" t="d">
        <v>2024-12-22</v>
      </c>
      <c r="W163" t="s">
        <v>48</v>
      </c>
    </row>
    <row r="164" spans="1:23">
      <c r="A164" t="s">
        <v>739</v>
      </c>
      <c r="B164" s="1" t="d">
        <v>2024-11-10</v>
      </c>
      <c r="C164" t="s">
        <v>740</v>
      </c>
      <c r="D164" t="s">
        <v>38</v>
      </c>
      <c r="E164" t="s">
        <v>741</v>
      </c>
      <c r="F164" t="s">
        <v>53</v>
      </c>
      <c r="G164" t="s">
        <v>742</v>
      </c>
      <c r="H164">
        <v>1799</v>
      </c>
      <c r="I164">
        <v>1</v>
      </c>
      <c r="J164">
        <v>1799</v>
      </c>
      <c r="L164">
        <v>0</v>
      </c>
      <c r="M164" t="s">
        <v>111</v>
      </c>
      <c r="N164" t="s">
        <v>30</v>
      </c>
      <c r="O164" t="s">
        <v>172</v>
      </c>
      <c r="P164" t="s">
        <v>32</v>
      </c>
      <c r="Q164" t="s">
        <v>31</v>
      </c>
      <c r="R164" s="1" t="d">
        <v>2024-11-22</v>
      </c>
      <c r="S164" t="s">
        <v>33</v>
      </c>
      <c r="T164" t="s">
        <v>34</v>
      </c>
      <c r="W164" t="s">
        <v>35</v>
      </c>
    </row>
    <row r="165" spans="1:23">
      <c r="A165" t="s">
        <v>743</v>
      </c>
      <c r="B165" s="1" t="d">
        <v>2024-10-10</v>
      </c>
      <c r="C165" t="s">
        <v>744</v>
      </c>
      <c r="D165" t="s">
        <v>25</v>
      </c>
      <c r="E165" t="s">
        <v>745</v>
      </c>
      <c r="F165" t="s">
        <v>61</v>
      </c>
      <c r="G165" t="s">
        <v>746</v>
      </c>
      <c r="H165">
        <v>4199</v>
      </c>
      <c r="I165">
        <v>1</v>
      </c>
      <c r="J165">
        <v>4199</v>
      </c>
      <c r="L165">
        <v>0</v>
      </c>
      <c r="M165" t="s">
        <v>29</v>
      </c>
      <c r="N165" t="s">
        <v>44</v>
      </c>
      <c r="O165" t="s">
        <v>177</v>
      </c>
      <c r="P165" t="s">
        <v>67</v>
      </c>
      <c r="Q165" t="s">
        <v>56</v>
      </c>
      <c r="R165" s="1" t="d">
        <v>2024-11-25</v>
      </c>
      <c r="S165" t="s">
        <v>33</v>
      </c>
      <c r="T165" t="s">
        <v>46</v>
      </c>
      <c r="U165" t="s">
        <v>68</v>
      </c>
      <c r="V165" s="1" t="d">
        <v>2024-12-24</v>
      </c>
      <c r="W165" t="s">
        <v>48</v>
      </c>
    </row>
    <row r="166" spans="1:23">
      <c r="A166" t="s">
        <v>747</v>
      </c>
      <c r="B166" s="1" t="d">
        <v>2024-11-10</v>
      </c>
      <c r="C166" t="s">
        <v>748</v>
      </c>
      <c r="D166" t="s">
        <v>25</v>
      </c>
      <c r="E166" t="s">
        <v>749</v>
      </c>
      <c r="F166" t="s">
        <v>71</v>
      </c>
      <c r="G166" t="s">
        <v>750</v>
      </c>
      <c r="H166">
        <v>699</v>
      </c>
      <c r="I166">
        <v>2</v>
      </c>
      <c r="J166">
        <v>1398</v>
      </c>
      <c r="L166">
        <v>0</v>
      </c>
      <c r="M166" t="s">
        <v>64</v>
      </c>
      <c r="N166" t="s">
        <v>65</v>
      </c>
      <c r="O166" t="s">
        <v>182</v>
      </c>
      <c r="P166" t="s">
        <v>183</v>
      </c>
      <c r="Q166" t="s">
        <v>56</v>
      </c>
      <c r="R166" s="1" t="d">
        <v>2024-11-23</v>
      </c>
      <c r="S166" t="s">
        <v>33</v>
      </c>
      <c r="T166" t="s">
        <v>34</v>
      </c>
      <c r="W166" t="s">
        <v>35</v>
      </c>
    </row>
    <row r="167" spans="1:23">
      <c r="A167" t="s">
        <v>751</v>
      </c>
      <c r="B167" s="1" t="d">
        <v>2024-11-11</v>
      </c>
      <c r="C167" t="s">
        <v>752</v>
      </c>
      <c r="D167" t="s">
        <v>25</v>
      </c>
      <c r="E167" t="s">
        <v>499</v>
      </c>
      <c r="F167" t="s">
        <v>27</v>
      </c>
      <c r="G167" t="s">
        <v>753</v>
      </c>
      <c r="H167">
        <v>1599</v>
      </c>
      <c r="I167">
        <v>1</v>
      </c>
      <c r="J167">
        <v>1599</v>
      </c>
      <c r="K167" s="2" t="d">
        <v>2015-11-01</v>
      </c>
      <c r="L167">
        <v>15</v>
      </c>
      <c r="M167" t="s">
        <v>43</v>
      </c>
      <c r="N167" t="s">
        <v>30</v>
      </c>
      <c r="O167" t="s">
        <v>188</v>
      </c>
      <c r="P167" t="s">
        <v>189</v>
      </c>
      <c r="Q167" t="s">
        <v>56</v>
      </c>
      <c r="R167" s="1" t="d">
        <v>2024-11-24</v>
      </c>
      <c r="S167" t="s">
        <v>33</v>
      </c>
      <c r="T167" t="s">
        <v>46</v>
      </c>
      <c r="U167" t="s">
        <v>47</v>
      </c>
      <c r="V167" s="1" t="d">
        <v>2024-12-23</v>
      </c>
      <c r="W167" t="s">
        <v>48</v>
      </c>
    </row>
    <row r="168" spans="1:23">
      <c r="A168" t="s">
        <v>754</v>
      </c>
      <c r="B168" s="1" t="d">
        <v>2024-11-11</v>
      </c>
      <c r="C168" t="s">
        <v>755</v>
      </c>
      <c r="D168" t="s">
        <v>25</v>
      </c>
      <c r="E168" t="s">
        <v>756</v>
      </c>
      <c r="F168" t="s">
        <v>40</v>
      </c>
      <c r="G168" t="s">
        <v>757</v>
      </c>
      <c r="H168">
        <v>2899</v>
      </c>
      <c r="I168">
        <v>1</v>
      </c>
      <c r="J168">
        <v>2899</v>
      </c>
      <c r="L168">
        <v>0</v>
      </c>
      <c r="M168" t="s">
        <v>55</v>
      </c>
      <c r="N168" t="s">
        <v>44</v>
      </c>
      <c r="O168" t="s">
        <v>194</v>
      </c>
      <c r="P168" t="s">
        <v>183</v>
      </c>
      <c r="Q168" t="s">
        <v>56</v>
      </c>
      <c r="R168" s="1" t="d">
        <v>2024-11-26</v>
      </c>
      <c r="S168" t="s">
        <v>33</v>
      </c>
      <c r="T168" t="s">
        <v>46</v>
      </c>
      <c r="U168" t="s">
        <v>104</v>
      </c>
      <c r="V168" s="1" t="d">
        <v>2024-12-25</v>
      </c>
      <c r="W168" t="s">
        <v>48</v>
      </c>
    </row>
    <row r="169" spans="1:23">
      <c r="A169" t="s">
        <v>758</v>
      </c>
      <c r="B169" s="1" t="d">
        <v>2024-11-11</v>
      </c>
      <c r="C169" t="s">
        <v>759</v>
      </c>
      <c r="D169" t="s">
        <v>38</v>
      </c>
      <c r="E169" t="s">
        <v>760</v>
      </c>
      <c r="F169" t="s">
        <v>53</v>
      </c>
      <c r="G169" t="s">
        <v>761</v>
      </c>
      <c r="H169">
        <v>2199</v>
      </c>
      <c r="I169">
        <v>1</v>
      </c>
      <c r="J169">
        <v>2199</v>
      </c>
      <c r="L169">
        <v>0</v>
      </c>
      <c r="M169" t="s">
        <v>29</v>
      </c>
      <c r="N169" t="s">
        <v>65</v>
      </c>
      <c r="O169" t="s">
        <v>199</v>
      </c>
      <c r="P169" t="s">
        <v>57</v>
      </c>
      <c r="Q169" t="s">
        <v>56</v>
      </c>
      <c r="R169" s="1" t="d">
        <v>2024-11-24</v>
      </c>
      <c r="S169" t="s">
        <v>33</v>
      </c>
      <c r="T169" t="s">
        <v>34</v>
      </c>
      <c r="W169" t="s">
        <v>35</v>
      </c>
    </row>
    <row r="170" spans="1:23">
      <c r="A170" t="s">
        <v>762</v>
      </c>
      <c r="B170" s="1" t="d">
        <v>2024-11-12</v>
      </c>
      <c r="C170" t="s">
        <v>763</v>
      </c>
      <c r="D170" t="s">
        <v>25</v>
      </c>
      <c r="E170" t="s">
        <v>764</v>
      </c>
      <c r="F170" t="s">
        <v>61</v>
      </c>
      <c r="G170" t="s">
        <v>765</v>
      </c>
      <c r="H170">
        <v>5599</v>
      </c>
      <c r="I170">
        <v>1</v>
      </c>
      <c r="J170">
        <v>5599</v>
      </c>
      <c r="L170">
        <v>0</v>
      </c>
      <c r="M170" t="s">
        <v>43</v>
      </c>
      <c r="N170" t="s">
        <v>30</v>
      </c>
      <c r="O170" t="s">
        <v>204</v>
      </c>
      <c r="P170" t="s">
        <v>97</v>
      </c>
      <c r="Q170" t="s">
        <v>31</v>
      </c>
      <c r="R170" s="1" t="d">
        <v>2024-11-27</v>
      </c>
      <c r="S170" t="s">
        <v>33</v>
      </c>
      <c r="T170" t="s">
        <v>46</v>
      </c>
      <c r="U170" t="s">
        <v>79</v>
      </c>
      <c r="V170" s="1" t="d">
        <v>2024-12-26</v>
      </c>
      <c r="W170" t="s">
        <v>48</v>
      </c>
    </row>
    <row r="171" spans="1:23">
      <c r="A171" t="s">
        <v>766</v>
      </c>
      <c r="B171" s="1" t="d">
        <v>2024-11-12</v>
      </c>
      <c r="C171" t="s">
        <v>767</v>
      </c>
      <c r="D171" t="s">
        <v>25</v>
      </c>
      <c r="E171" t="s">
        <v>768</v>
      </c>
      <c r="F171" t="s">
        <v>71</v>
      </c>
      <c r="G171" t="s">
        <v>769</v>
      </c>
      <c r="H171">
        <v>399</v>
      </c>
      <c r="I171">
        <v>2</v>
      </c>
      <c r="J171">
        <v>798</v>
      </c>
      <c r="K171" s="2" t="d">
        <v>2015-11-01</v>
      </c>
      <c r="L171">
        <v>15</v>
      </c>
      <c r="M171" t="s">
        <v>111</v>
      </c>
      <c r="N171" t="s">
        <v>44</v>
      </c>
      <c r="O171" t="s">
        <v>209</v>
      </c>
      <c r="P171" t="s">
        <v>97</v>
      </c>
      <c r="Q171" t="s">
        <v>31</v>
      </c>
      <c r="R171" s="1" t="d">
        <v>2024-11-25</v>
      </c>
      <c r="S171" t="s">
        <v>33</v>
      </c>
      <c r="T171" t="s">
        <v>34</v>
      </c>
      <c r="W171" t="s">
        <v>35</v>
      </c>
    </row>
    <row r="172" spans="1:23">
      <c r="A172" t="s">
        <v>770</v>
      </c>
      <c r="B172" s="1" t="d">
        <v>2024-11-12</v>
      </c>
      <c r="C172" t="s">
        <v>771</v>
      </c>
      <c r="D172" t="s">
        <v>25</v>
      </c>
      <c r="E172" t="s">
        <v>772</v>
      </c>
      <c r="F172" t="s">
        <v>27</v>
      </c>
      <c r="G172" t="s">
        <v>773</v>
      </c>
      <c r="H172">
        <v>1899</v>
      </c>
      <c r="I172">
        <v>1</v>
      </c>
      <c r="J172">
        <v>1899</v>
      </c>
      <c r="L172">
        <v>0</v>
      </c>
      <c r="M172" t="s">
        <v>64</v>
      </c>
      <c r="N172" t="s">
        <v>65</v>
      </c>
      <c r="O172" t="s">
        <v>214</v>
      </c>
      <c r="P172" t="s">
        <v>113</v>
      </c>
      <c r="Q172" t="s">
        <v>45</v>
      </c>
      <c r="R172" s="1" t="d">
        <v>2024-11-26</v>
      </c>
      <c r="S172" t="s">
        <v>33</v>
      </c>
      <c r="T172" t="s">
        <v>46</v>
      </c>
      <c r="U172" t="s">
        <v>68</v>
      </c>
      <c r="V172" s="1" t="d">
        <v>2024-12-24</v>
      </c>
      <c r="W172" t="s">
        <v>48</v>
      </c>
    </row>
    <row r="173" spans="1:23">
      <c r="A173" t="s">
        <v>774</v>
      </c>
      <c r="B173" s="1" t="d">
        <v>2024-11-13</v>
      </c>
      <c r="C173" t="s">
        <v>775</v>
      </c>
      <c r="D173" t="s">
        <v>25</v>
      </c>
      <c r="E173" t="s">
        <v>776</v>
      </c>
      <c r="F173" t="s">
        <v>40</v>
      </c>
      <c r="G173" t="s">
        <v>777</v>
      </c>
      <c r="H173">
        <v>2699</v>
      </c>
      <c r="I173">
        <v>1</v>
      </c>
      <c r="J173">
        <v>2699</v>
      </c>
      <c r="L173">
        <v>0</v>
      </c>
      <c r="M173" t="s">
        <v>29</v>
      </c>
      <c r="N173" t="s">
        <v>30</v>
      </c>
      <c r="O173" t="s">
        <v>31</v>
      </c>
      <c r="P173" t="s">
        <v>32</v>
      </c>
      <c r="Q173" t="s">
        <v>31</v>
      </c>
      <c r="R173" s="1" t="d">
        <v>2024-11-28</v>
      </c>
      <c r="S173" t="s">
        <v>33</v>
      </c>
      <c r="T173" t="s">
        <v>34</v>
      </c>
      <c r="W173" t="s">
        <v>35</v>
      </c>
    </row>
    <row r="174" spans="1:23">
      <c r="A174" t="s">
        <v>778</v>
      </c>
      <c r="B174" s="1" t="d">
        <v>2024-11-13</v>
      </c>
      <c r="C174" t="s">
        <v>779</v>
      </c>
      <c r="D174" t="s">
        <v>38</v>
      </c>
      <c r="E174" t="s">
        <v>780</v>
      </c>
      <c r="F174" t="s">
        <v>53</v>
      </c>
      <c r="G174" t="s">
        <v>781</v>
      </c>
      <c r="H174">
        <v>2499</v>
      </c>
      <c r="I174">
        <v>1</v>
      </c>
      <c r="J174">
        <v>2499</v>
      </c>
      <c r="K174" s="2" t="d">
        <v>2015-11-01</v>
      </c>
      <c r="L174">
        <v>15</v>
      </c>
      <c r="M174" t="s">
        <v>43</v>
      </c>
      <c r="N174" t="s">
        <v>44</v>
      </c>
      <c r="O174" t="s">
        <v>45</v>
      </c>
      <c r="P174" t="s">
        <v>45</v>
      </c>
      <c r="Q174" t="s">
        <v>45</v>
      </c>
      <c r="R174" s="1" t="d">
        <v>2024-11-26</v>
      </c>
      <c r="S174" t="s">
        <v>33</v>
      </c>
      <c r="T174" t="s">
        <v>46</v>
      </c>
      <c r="U174" t="s">
        <v>47</v>
      </c>
      <c r="V174" s="1" t="d">
        <v>2024-12-25</v>
      </c>
      <c r="W174" t="s">
        <v>48</v>
      </c>
    </row>
    <row r="175" spans="1:23">
      <c r="A175" t="s">
        <v>782</v>
      </c>
      <c r="B175" s="1" t="d">
        <v>2024-11-13</v>
      </c>
      <c r="C175" t="s">
        <v>783</v>
      </c>
      <c r="D175" t="s">
        <v>25</v>
      </c>
      <c r="E175" t="s">
        <v>784</v>
      </c>
      <c r="F175" t="s">
        <v>61</v>
      </c>
      <c r="G175" t="s">
        <v>785</v>
      </c>
      <c r="H175">
        <v>6299</v>
      </c>
      <c r="I175">
        <v>1</v>
      </c>
      <c r="J175">
        <v>6299</v>
      </c>
      <c r="L175">
        <v>0</v>
      </c>
      <c r="M175" t="s">
        <v>55</v>
      </c>
      <c r="N175" t="s">
        <v>65</v>
      </c>
      <c r="O175" t="s">
        <v>90</v>
      </c>
      <c r="P175" t="s">
        <v>91</v>
      </c>
      <c r="Q175" t="s">
        <v>45</v>
      </c>
      <c r="S175" t="s">
        <v>120</v>
      </c>
      <c r="T175" t="s">
        <v>34</v>
      </c>
      <c r="W175" t="s">
        <v>35</v>
      </c>
    </row>
    <row r="176" spans="1:23">
      <c r="A176" t="s">
        <v>786</v>
      </c>
      <c r="B176" s="1" t="d">
        <v>2024-11-14</v>
      </c>
      <c r="C176" t="s">
        <v>787</v>
      </c>
      <c r="D176" t="s">
        <v>25</v>
      </c>
      <c r="E176" t="s">
        <v>788</v>
      </c>
      <c r="F176" t="s">
        <v>71</v>
      </c>
      <c r="G176" t="s">
        <v>789</v>
      </c>
      <c r="H176">
        <v>1599</v>
      </c>
      <c r="I176">
        <v>1</v>
      </c>
      <c r="J176">
        <v>1599</v>
      </c>
      <c r="L176">
        <v>0</v>
      </c>
      <c r="M176" t="s">
        <v>111</v>
      </c>
      <c r="N176" t="s">
        <v>30</v>
      </c>
      <c r="O176" t="s">
        <v>66</v>
      </c>
      <c r="P176" t="s">
        <v>67</v>
      </c>
      <c r="Q176" t="s">
        <v>56</v>
      </c>
      <c r="R176" s="1" t="d">
        <v>2024-11-27</v>
      </c>
      <c r="S176" t="s">
        <v>33</v>
      </c>
      <c r="T176" t="s">
        <v>46</v>
      </c>
      <c r="U176" t="s">
        <v>138</v>
      </c>
      <c r="V176" s="1" t="d">
        <v>2024-12-26</v>
      </c>
      <c r="W176" t="s">
        <v>48</v>
      </c>
    </row>
    <row r="177" spans="1:23">
      <c r="A177" t="s">
        <v>790</v>
      </c>
      <c r="B177" s="1" t="d">
        <v>2024-11-14</v>
      </c>
      <c r="C177" t="s">
        <v>791</v>
      </c>
      <c r="D177" t="s">
        <v>25</v>
      </c>
      <c r="E177" t="s">
        <v>792</v>
      </c>
      <c r="F177" t="s">
        <v>27</v>
      </c>
      <c r="G177" t="s">
        <v>793</v>
      </c>
      <c r="H177">
        <v>1699</v>
      </c>
      <c r="I177">
        <v>1</v>
      </c>
      <c r="J177">
        <v>1699</v>
      </c>
      <c r="L177">
        <v>0</v>
      </c>
      <c r="M177" t="s">
        <v>29</v>
      </c>
      <c r="N177" t="s">
        <v>44</v>
      </c>
      <c r="O177" t="s">
        <v>77</v>
      </c>
      <c r="P177" t="s">
        <v>78</v>
      </c>
      <c r="Q177" t="s">
        <v>56</v>
      </c>
      <c r="R177" s="1" t="d">
        <v>2024-11-28</v>
      </c>
      <c r="S177" t="s">
        <v>33</v>
      </c>
      <c r="T177" t="s">
        <v>34</v>
      </c>
      <c r="W177" t="s">
        <v>35</v>
      </c>
    </row>
    <row r="178" spans="1:23">
      <c r="A178" t="s">
        <v>794</v>
      </c>
      <c r="B178" s="1" t="d">
        <v>2024-11-14</v>
      </c>
      <c r="C178" t="s">
        <v>795</v>
      </c>
      <c r="D178" t="s">
        <v>25</v>
      </c>
      <c r="E178" t="s">
        <v>796</v>
      </c>
      <c r="F178" t="s">
        <v>40</v>
      </c>
      <c r="G178" t="s">
        <v>797</v>
      </c>
      <c r="H178">
        <v>3199</v>
      </c>
      <c r="I178">
        <v>1</v>
      </c>
      <c r="J178">
        <v>3199</v>
      </c>
      <c r="K178" s="2" t="d">
        <v>2015-11-01</v>
      </c>
      <c r="L178">
        <v>15</v>
      </c>
      <c r="M178" t="s">
        <v>64</v>
      </c>
      <c r="N178" t="s">
        <v>65</v>
      </c>
      <c r="O178" t="s">
        <v>84</v>
      </c>
      <c r="P178" t="s">
        <v>32</v>
      </c>
      <c r="Q178" t="s">
        <v>31</v>
      </c>
      <c r="R178" s="1" t="d">
        <v>2024-11-29</v>
      </c>
      <c r="S178" t="s">
        <v>33</v>
      </c>
      <c r="T178" t="s">
        <v>46</v>
      </c>
      <c r="U178" t="s">
        <v>47</v>
      </c>
      <c r="V178" s="1" t="d">
        <v>2024-12-28</v>
      </c>
      <c r="W178" t="s">
        <v>48</v>
      </c>
    </row>
    <row r="179" spans="1:23">
      <c r="A179" t="s">
        <v>798</v>
      </c>
      <c r="B179" s="1" t="d">
        <v>2024-11-15</v>
      </c>
      <c r="C179" t="s">
        <v>799</v>
      </c>
      <c r="D179" t="s">
        <v>38</v>
      </c>
      <c r="E179" t="s">
        <v>800</v>
      </c>
      <c r="F179" t="s">
        <v>53</v>
      </c>
      <c r="G179" t="s">
        <v>801</v>
      </c>
      <c r="H179">
        <v>2099</v>
      </c>
      <c r="I179">
        <v>1</v>
      </c>
      <c r="J179">
        <v>2099</v>
      </c>
      <c r="L179">
        <v>0</v>
      </c>
      <c r="M179" t="s">
        <v>43</v>
      </c>
      <c r="N179" t="s">
        <v>30</v>
      </c>
      <c r="O179" t="s">
        <v>96</v>
      </c>
      <c r="P179" t="s">
        <v>97</v>
      </c>
      <c r="Q179" t="s">
        <v>31</v>
      </c>
      <c r="R179" s="1" t="d">
        <v>2024-11-28</v>
      </c>
      <c r="S179" t="s">
        <v>33</v>
      </c>
      <c r="T179" t="s">
        <v>34</v>
      </c>
      <c r="W179" t="s">
        <v>35</v>
      </c>
    </row>
    <row r="180" spans="1:23">
      <c r="A180" t="s">
        <v>802</v>
      </c>
      <c r="B180" s="1" t="d">
        <v>2024-11-15</v>
      </c>
      <c r="C180" t="s">
        <v>803</v>
      </c>
      <c r="D180" t="s">
        <v>25</v>
      </c>
      <c r="E180" t="s">
        <v>804</v>
      </c>
      <c r="F180" t="s">
        <v>61</v>
      </c>
      <c r="G180" t="s">
        <v>805</v>
      </c>
      <c r="H180">
        <v>6999</v>
      </c>
      <c r="I180">
        <v>1</v>
      </c>
      <c r="J180">
        <v>6999</v>
      </c>
      <c r="L180">
        <v>0</v>
      </c>
      <c r="M180" t="s">
        <v>29</v>
      </c>
      <c r="N180" t="s">
        <v>44</v>
      </c>
      <c r="O180" t="s">
        <v>102</v>
      </c>
      <c r="P180" t="s">
        <v>103</v>
      </c>
      <c r="Q180" t="s">
        <v>45</v>
      </c>
      <c r="R180" s="1" t="d">
        <v>2024-11-30</v>
      </c>
      <c r="S180" t="s">
        <v>33</v>
      </c>
      <c r="T180" t="s">
        <v>46</v>
      </c>
      <c r="U180" t="s">
        <v>104</v>
      </c>
      <c r="V180" s="1" t="d">
        <v>2024-12-29</v>
      </c>
      <c r="W180" t="s">
        <v>48</v>
      </c>
    </row>
    <row r="181" spans="1:23">
      <c r="A181" t="s">
        <v>806</v>
      </c>
      <c r="B181" s="1" t="d">
        <v>2024-11-15</v>
      </c>
      <c r="C181" t="s">
        <v>807</v>
      </c>
      <c r="D181" t="s">
        <v>25</v>
      </c>
      <c r="E181" t="s">
        <v>808</v>
      </c>
      <c r="F181" t="s">
        <v>71</v>
      </c>
      <c r="G181" t="s">
        <v>809</v>
      </c>
      <c r="H181">
        <v>899</v>
      </c>
      <c r="I181">
        <v>1</v>
      </c>
      <c r="J181">
        <v>899</v>
      </c>
      <c r="L181">
        <v>0</v>
      </c>
      <c r="M181" t="s">
        <v>55</v>
      </c>
      <c r="N181" t="s">
        <v>65</v>
      </c>
      <c r="O181" t="s">
        <v>112</v>
      </c>
      <c r="P181" t="s">
        <v>113</v>
      </c>
      <c r="Q181" t="s">
        <v>45</v>
      </c>
      <c r="R181" s="1" t="d">
        <v>2024-11-28</v>
      </c>
      <c r="S181" t="s">
        <v>33</v>
      </c>
      <c r="T181" t="s">
        <v>46</v>
      </c>
      <c r="U181" t="s">
        <v>79</v>
      </c>
      <c r="V181" s="1" t="d">
        <v>2024-12-27</v>
      </c>
      <c r="W181" t="s">
        <v>48</v>
      </c>
    </row>
    <row r="182" spans="1:23">
      <c r="A182" t="s">
        <v>810</v>
      </c>
      <c r="B182" s="1" t="d">
        <v>2024-11-16</v>
      </c>
      <c r="C182" t="s">
        <v>811</v>
      </c>
      <c r="D182" t="s">
        <v>25</v>
      </c>
      <c r="E182" t="s">
        <v>812</v>
      </c>
      <c r="F182" t="s">
        <v>27</v>
      </c>
      <c r="G182" t="s">
        <v>813</v>
      </c>
      <c r="H182">
        <v>1499</v>
      </c>
      <c r="I182">
        <v>1</v>
      </c>
      <c r="J182">
        <v>1499</v>
      </c>
      <c r="K182" s="2" t="d">
        <v>2015-11-01</v>
      </c>
      <c r="L182">
        <v>15</v>
      </c>
      <c r="M182" t="s">
        <v>111</v>
      </c>
      <c r="N182" t="s">
        <v>30</v>
      </c>
      <c r="O182" t="s">
        <v>56</v>
      </c>
      <c r="P182" t="s">
        <v>57</v>
      </c>
      <c r="Q182" t="s">
        <v>56</v>
      </c>
      <c r="R182" s="1" t="d">
        <v>2024-11-29</v>
      </c>
      <c r="S182" t="s">
        <v>33</v>
      </c>
      <c r="T182" t="s">
        <v>34</v>
      </c>
      <c r="W182" t="s">
        <v>35</v>
      </c>
    </row>
    <row r="183" spans="1:23">
      <c r="A183" t="s">
        <v>814</v>
      </c>
      <c r="B183" s="1" t="d">
        <v>2024-11-16</v>
      </c>
      <c r="C183" t="s">
        <v>815</v>
      </c>
      <c r="D183" t="s">
        <v>25</v>
      </c>
      <c r="E183" t="s">
        <v>816</v>
      </c>
      <c r="F183" t="s">
        <v>40</v>
      </c>
      <c r="G183" t="s">
        <v>817</v>
      </c>
      <c r="H183">
        <v>2999</v>
      </c>
      <c r="I183">
        <v>1</v>
      </c>
      <c r="J183">
        <v>2999</v>
      </c>
      <c r="L183">
        <v>0</v>
      </c>
      <c r="M183" t="s">
        <v>64</v>
      </c>
      <c r="N183" t="s">
        <v>44</v>
      </c>
      <c r="O183" t="s">
        <v>31</v>
      </c>
      <c r="P183" t="s">
        <v>32</v>
      </c>
      <c r="Q183" t="s">
        <v>31</v>
      </c>
      <c r="R183" s="1" t="d">
        <v>2024-12-01</v>
      </c>
      <c r="S183" t="s">
        <v>33</v>
      </c>
      <c r="T183" t="s">
        <v>46</v>
      </c>
      <c r="U183" t="s">
        <v>68</v>
      </c>
      <c r="V183" s="1" t="d">
        <v>2024-12-30</v>
      </c>
      <c r="W183" t="s">
        <v>48</v>
      </c>
    </row>
    <row r="184" spans="1:23">
      <c r="A184" t="s">
        <v>818</v>
      </c>
      <c r="B184" s="1" t="d">
        <v>2024-11-16</v>
      </c>
      <c r="C184" t="s">
        <v>819</v>
      </c>
      <c r="D184" t="s">
        <v>38</v>
      </c>
      <c r="E184" t="s">
        <v>820</v>
      </c>
      <c r="F184" t="s">
        <v>53</v>
      </c>
      <c r="G184" t="s">
        <v>821</v>
      </c>
      <c r="H184">
        <v>1899</v>
      </c>
      <c r="I184">
        <v>1</v>
      </c>
      <c r="J184">
        <v>1899</v>
      </c>
      <c r="L184">
        <v>0</v>
      </c>
      <c r="M184" t="s">
        <v>43</v>
      </c>
      <c r="N184" t="s">
        <v>65</v>
      </c>
      <c r="O184" t="s">
        <v>45</v>
      </c>
      <c r="P184" t="s">
        <v>45</v>
      </c>
      <c r="Q184" t="s">
        <v>45</v>
      </c>
      <c r="R184" s="1" t="d">
        <v>2024-11-29</v>
      </c>
      <c r="S184" t="s">
        <v>33</v>
      </c>
      <c r="T184" t="s">
        <v>34</v>
      </c>
      <c r="W184" t="s">
        <v>35</v>
      </c>
    </row>
    <row r="185" spans="1:23">
      <c r="A185" t="s">
        <v>822</v>
      </c>
      <c r="B185" s="1" t="d">
        <v>2024-11-17</v>
      </c>
      <c r="C185" t="s">
        <v>823</v>
      </c>
      <c r="D185" t="s">
        <v>25</v>
      </c>
      <c r="E185" t="s">
        <v>824</v>
      </c>
      <c r="F185" t="s">
        <v>61</v>
      </c>
      <c r="G185" t="s">
        <v>825</v>
      </c>
      <c r="H185">
        <v>7499</v>
      </c>
      <c r="I185">
        <v>1</v>
      </c>
      <c r="J185">
        <v>7499</v>
      </c>
      <c r="L185">
        <v>0</v>
      </c>
      <c r="M185" t="s">
        <v>29</v>
      </c>
      <c r="N185" t="s">
        <v>30</v>
      </c>
      <c r="O185" t="s">
        <v>118</v>
      </c>
      <c r="P185" t="s">
        <v>119</v>
      </c>
      <c r="Q185" t="s">
        <v>45</v>
      </c>
      <c r="R185" s="1" t="d">
        <v>2024-12-02</v>
      </c>
      <c r="S185" t="s">
        <v>33</v>
      </c>
      <c r="T185" t="s">
        <v>46</v>
      </c>
      <c r="U185" t="s">
        <v>47</v>
      </c>
      <c r="V185" s="1" t="d">
        <v>2024-12-31</v>
      </c>
      <c r="W185" t="s">
        <v>48</v>
      </c>
    </row>
    <row r="186" spans="1:23">
      <c r="A186" t="s">
        <v>826</v>
      </c>
      <c r="B186" s="1" t="d">
        <v>2024-11-17</v>
      </c>
      <c r="C186" t="s">
        <v>827</v>
      </c>
      <c r="D186" t="s">
        <v>25</v>
      </c>
      <c r="E186" t="s">
        <v>828</v>
      </c>
      <c r="F186" t="s">
        <v>71</v>
      </c>
      <c r="G186" t="s">
        <v>829</v>
      </c>
      <c r="H186">
        <v>1299</v>
      </c>
      <c r="I186">
        <v>1</v>
      </c>
      <c r="J186">
        <v>1299</v>
      </c>
      <c r="K186" s="2" t="d">
        <v>2015-11-01</v>
      </c>
      <c r="L186">
        <v>15</v>
      </c>
      <c r="M186" t="s">
        <v>55</v>
      </c>
      <c r="N186" t="s">
        <v>44</v>
      </c>
      <c r="O186" t="s">
        <v>137</v>
      </c>
      <c r="P186" t="s">
        <v>113</v>
      </c>
      <c r="Q186" t="s">
        <v>45</v>
      </c>
      <c r="R186" s="1" t="d">
        <v>2024-11-30</v>
      </c>
      <c r="S186" t="s">
        <v>33</v>
      </c>
      <c r="T186" t="s">
        <v>34</v>
      </c>
      <c r="W186" t="s">
        <v>35</v>
      </c>
    </row>
    <row r="187" spans="1:23">
      <c r="A187" t="s">
        <v>830</v>
      </c>
      <c r="B187" s="1" t="d">
        <v>2024-11-17</v>
      </c>
      <c r="C187" t="s">
        <v>831</v>
      </c>
      <c r="D187" t="s">
        <v>25</v>
      </c>
      <c r="E187" t="s">
        <v>832</v>
      </c>
      <c r="F187" t="s">
        <v>27</v>
      </c>
      <c r="G187" t="s">
        <v>833</v>
      </c>
      <c r="H187">
        <v>1599</v>
      </c>
      <c r="I187">
        <v>1</v>
      </c>
      <c r="J187">
        <v>1599</v>
      </c>
      <c r="L187">
        <v>0</v>
      </c>
      <c r="M187" t="s">
        <v>43</v>
      </c>
      <c r="N187" t="s">
        <v>65</v>
      </c>
      <c r="O187" t="s">
        <v>143</v>
      </c>
      <c r="P187" t="s">
        <v>144</v>
      </c>
      <c r="Q187" t="s">
        <v>45</v>
      </c>
      <c r="R187" s="1" t="d">
        <v>2024-12-01</v>
      </c>
      <c r="S187" t="s">
        <v>33</v>
      </c>
      <c r="T187" t="s">
        <v>46</v>
      </c>
      <c r="U187" t="s">
        <v>138</v>
      </c>
      <c r="V187" s="1" t="d">
        <v>2024-12-29</v>
      </c>
      <c r="W187" t="s">
        <v>48</v>
      </c>
    </row>
    <row r="188" spans="1:23">
      <c r="A188" t="s">
        <v>834</v>
      </c>
      <c r="B188" s="1" t="d">
        <v>2024-11-18</v>
      </c>
      <c r="C188" t="s">
        <v>835</v>
      </c>
      <c r="D188" t="s">
        <v>25</v>
      </c>
      <c r="E188" t="s">
        <v>836</v>
      </c>
      <c r="F188" t="s">
        <v>40</v>
      </c>
      <c r="G188" t="s">
        <v>837</v>
      </c>
      <c r="H188">
        <v>3799</v>
      </c>
      <c r="I188">
        <v>1</v>
      </c>
      <c r="J188">
        <v>3799</v>
      </c>
      <c r="L188">
        <v>0</v>
      </c>
      <c r="M188" t="s">
        <v>111</v>
      </c>
      <c r="N188" t="s">
        <v>30</v>
      </c>
      <c r="O188" t="s">
        <v>150</v>
      </c>
      <c r="P188" t="s">
        <v>151</v>
      </c>
      <c r="Q188" t="s">
        <v>31</v>
      </c>
      <c r="R188" s="1" t="d">
        <v>2024-12-03</v>
      </c>
      <c r="S188" t="s">
        <v>33</v>
      </c>
      <c r="T188" t="s">
        <v>34</v>
      </c>
      <c r="W188" t="s">
        <v>35</v>
      </c>
    </row>
    <row r="189" spans="1:23">
      <c r="A189" t="s">
        <v>838</v>
      </c>
      <c r="B189" s="1" t="d">
        <v>2024-11-18</v>
      </c>
      <c r="C189" t="s">
        <v>839</v>
      </c>
      <c r="D189" t="s">
        <v>38</v>
      </c>
      <c r="E189" t="s">
        <v>840</v>
      </c>
      <c r="F189" t="s">
        <v>53</v>
      </c>
      <c r="G189" t="s">
        <v>841</v>
      </c>
      <c r="H189">
        <v>2299</v>
      </c>
      <c r="I189">
        <v>1</v>
      </c>
      <c r="J189">
        <v>2299</v>
      </c>
      <c r="L189">
        <v>0</v>
      </c>
      <c r="M189" t="s">
        <v>29</v>
      </c>
      <c r="N189" t="s">
        <v>44</v>
      </c>
      <c r="O189" t="s">
        <v>156</v>
      </c>
      <c r="P189" t="s">
        <v>97</v>
      </c>
      <c r="Q189" t="s">
        <v>31</v>
      </c>
      <c r="R189" s="1" t="d">
        <v>2024-12-01</v>
      </c>
      <c r="S189" t="s">
        <v>33</v>
      </c>
      <c r="T189" t="s">
        <v>46</v>
      </c>
      <c r="U189" t="s">
        <v>47</v>
      </c>
      <c r="V189" s="1" t="d">
        <v>2024-12-30</v>
      </c>
      <c r="W189" t="s">
        <v>48</v>
      </c>
    </row>
    <row r="190" spans="1:23">
      <c r="A190" t="s">
        <v>842</v>
      </c>
      <c r="B190" s="1" t="d">
        <v>2024-11-18</v>
      </c>
      <c r="C190" t="s">
        <v>843</v>
      </c>
      <c r="D190" t="s">
        <v>25</v>
      </c>
      <c r="E190" t="s">
        <v>844</v>
      </c>
      <c r="F190" t="s">
        <v>61</v>
      </c>
      <c r="G190" t="s">
        <v>845</v>
      </c>
      <c r="H190">
        <v>5999</v>
      </c>
      <c r="I190">
        <v>1</v>
      </c>
      <c r="J190">
        <v>5999</v>
      </c>
      <c r="K190" s="2" t="d">
        <v>2015-11-01</v>
      </c>
      <c r="L190">
        <v>15</v>
      </c>
      <c r="M190" t="s">
        <v>64</v>
      </c>
      <c r="N190" t="s">
        <v>65</v>
      </c>
      <c r="O190" t="s">
        <v>161</v>
      </c>
      <c r="P190" t="s">
        <v>162</v>
      </c>
      <c r="Q190" t="s">
        <v>45</v>
      </c>
      <c r="R190" s="1" t="d">
        <v>2024-12-04</v>
      </c>
      <c r="S190" t="s">
        <v>33</v>
      </c>
      <c r="T190" t="s">
        <v>46</v>
      </c>
      <c r="U190" t="s">
        <v>104</v>
      </c>
      <c r="V190" s="1" t="d">
        <v>2025-01-02</v>
      </c>
      <c r="W190" t="s">
        <v>48</v>
      </c>
    </row>
    <row r="191" spans="1:23">
      <c r="A191" t="s">
        <v>846</v>
      </c>
      <c r="B191" s="1" t="d">
        <v>2024-11-19</v>
      </c>
      <c r="C191" t="s">
        <v>847</v>
      </c>
      <c r="D191" t="s">
        <v>25</v>
      </c>
      <c r="E191" t="s">
        <v>848</v>
      </c>
      <c r="F191" t="s">
        <v>71</v>
      </c>
      <c r="G191" t="s">
        <v>849</v>
      </c>
      <c r="H191">
        <v>499</v>
      </c>
      <c r="I191">
        <v>2</v>
      </c>
      <c r="J191">
        <v>998</v>
      </c>
      <c r="L191">
        <v>0</v>
      </c>
      <c r="M191" t="s">
        <v>43</v>
      </c>
      <c r="N191" t="s">
        <v>30</v>
      </c>
      <c r="O191" t="s">
        <v>167</v>
      </c>
      <c r="P191" t="s">
        <v>151</v>
      </c>
      <c r="Q191" t="s">
        <v>31</v>
      </c>
      <c r="R191" s="1" t="d">
        <v>2024-12-02</v>
      </c>
      <c r="S191" t="s">
        <v>33</v>
      </c>
      <c r="T191" t="s">
        <v>34</v>
      </c>
      <c r="W191" t="s">
        <v>35</v>
      </c>
    </row>
    <row r="192" spans="1:23">
      <c r="A192" t="s">
        <v>850</v>
      </c>
      <c r="B192" s="1" t="d">
        <v>2024-11-19</v>
      </c>
      <c r="C192" t="s">
        <v>851</v>
      </c>
      <c r="D192" t="s">
        <v>25</v>
      </c>
      <c r="E192" t="s">
        <v>852</v>
      </c>
      <c r="F192" t="s">
        <v>27</v>
      </c>
      <c r="G192" t="s">
        <v>853</v>
      </c>
      <c r="H192">
        <v>1799</v>
      </c>
      <c r="I192">
        <v>1</v>
      </c>
      <c r="J192">
        <v>1799</v>
      </c>
      <c r="L192">
        <v>0</v>
      </c>
      <c r="M192" t="s">
        <v>55</v>
      </c>
      <c r="N192" t="s">
        <v>44</v>
      </c>
      <c r="O192" t="s">
        <v>172</v>
      </c>
      <c r="P192" t="s">
        <v>32</v>
      </c>
      <c r="Q192" t="s">
        <v>31</v>
      </c>
      <c r="S192" t="s">
        <v>120</v>
      </c>
      <c r="T192" t="s">
        <v>34</v>
      </c>
      <c r="W192" t="s">
        <v>35</v>
      </c>
    </row>
    <row r="193" spans="1:23">
      <c r="A193" t="s">
        <v>854</v>
      </c>
      <c r="B193" s="1" t="d">
        <v>2024-11-19</v>
      </c>
      <c r="C193" t="s">
        <v>855</v>
      </c>
      <c r="D193" t="s">
        <v>25</v>
      </c>
      <c r="E193" t="s">
        <v>856</v>
      </c>
      <c r="F193" t="s">
        <v>40</v>
      </c>
      <c r="G193" t="s">
        <v>857</v>
      </c>
      <c r="H193">
        <v>2999</v>
      </c>
      <c r="I193">
        <v>1</v>
      </c>
      <c r="J193">
        <v>2999</v>
      </c>
      <c r="L193">
        <v>0</v>
      </c>
      <c r="M193" t="s">
        <v>29</v>
      </c>
      <c r="N193" t="s">
        <v>65</v>
      </c>
      <c r="O193" t="s">
        <v>177</v>
      </c>
      <c r="P193" t="s">
        <v>67</v>
      </c>
      <c r="Q193" t="s">
        <v>56</v>
      </c>
      <c r="R193" s="1" t="d">
        <v>2024-12-05</v>
      </c>
      <c r="S193" t="s">
        <v>33</v>
      </c>
      <c r="T193" t="s">
        <v>46</v>
      </c>
      <c r="U193" t="s">
        <v>79</v>
      </c>
      <c r="V193" s="1" t="d">
        <v>2025-01-03</v>
      </c>
      <c r="W193" t="s">
        <v>48</v>
      </c>
    </row>
    <row r="194" spans="1:23">
      <c r="A194" t="s">
        <v>858</v>
      </c>
      <c r="B194" s="1" t="d">
        <v>2024-11-20</v>
      </c>
      <c r="C194" t="s">
        <v>859</v>
      </c>
      <c r="D194" t="s">
        <v>38</v>
      </c>
      <c r="E194" t="s">
        <v>860</v>
      </c>
      <c r="F194" t="s">
        <v>53</v>
      </c>
      <c r="G194" t="s">
        <v>861</v>
      </c>
      <c r="H194">
        <v>2199</v>
      </c>
      <c r="I194">
        <v>1</v>
      </c>
      <c r="J194">
        <v>2199</v>
      </c>
      <c r="K194" s="2" t="d">
        <v>2015-11-01</v>
      </c>
      <c r="L194">
        <v>15</v>
      </c>
      <c r="M194" t="s">
        <v>111</v>
      </c>
      <c r="N194" t="s">
        <v>30</v>
      </c>
      <c r="O194" t="s">
        <v>182</v>
      </c>
      <c r="P194" t="s">
        <v>183</v>
      </c>
      <c r="Q194" t="s">
        <v>56</v>
      </c>
      <c r="R194" s="1" t="d">
        <v>2024-12-03</v>
      </c>
      <c r="S194" t="s">
        <v>33</v>
      </c>
      <c r="T194" t="s">
        <v>34</v>
      </c>
      <c r="W194" t="s">
        <v>35</v>
      </c>
    </row>
    <row r="195" spans="1:23">
      <c r="A195" t="s">
        <v>862</v>
      </c>
      <c r="B195" s="1" t="d">
        <v>2024-11-20</v>
      </c>
      <c r="C195" t="s">
        <v>863</v>
      </c>
      <c r="D195" t="s">
        <v>25</v>
      </c>
      <c r="E195" t="s">
        <v>864</v>
      </c>
      <c r="F195" t="s">
        <v>61</v>
      </c>
      <c r="G195" t="s">
        <v>865</v>
      </c>
      <c r="H195">
        <v>4899</v>
      </c>
      <c r="I195">
        <v>1</v>
      </c>
      <c r="J195">
        <v>4899</v>
      </c>
      <c r="L195">
        <v>0</v>
      </c>
      <c r="M195" t="s">
        <v>64</v>
      </c>
      <c r="N195" t="s">
        <v>44</v>
      </c>
      <c r="O195" t="s">
        <v>188</v>
      </c>
      <c r="P195" t="s">
        <v>189</v>
      </c>
      <c r="Q195" t="s">
        <v>56</v>
      </c>
      <c r="R195" s="1" t="d">
        <v>2024-12-06</v>
      </c>
      <c r="S195" t="s">
        <v>33</v>
      </c>
      <c r="T195" t="s">
        <v>46</v>
      </c>
      <c r="U195" t="s">
        <v>68</v>
      </c>
      <c r="V195" s="1" t="d">
        <v>2025-01-04</v>
      </c>
      <c r="W195" t="s">
        <v>48</v>
      </c>
    </row>
    <row r="196" spans="1:23">
      <c r="A196" t="s">
        <v>866</v>
      </c>
      <c r="B196" s="1" t="d">
        <v>2024-11-20</v>
      </c>
      <c r="C196" t="s">
        <v>867</v>
      </c>
      <c r="D196" t="s">
        <v>25</v>
      </c>
      <c r="E196" t="s">
        <v>868</v>
      </c>
      <c r="F196" t="s">
        <v>71</v>
      </c>
      <c r="G196" t="s">
        <v>869</v>
      </c>
      <c r="H196">
        <v>799</v>
      </c>
      <c r="I196">
        <v>1</v>
      </c>
      <c r="J196">
        <v>799</v>
      </c>
      <c r="L196">
        <v>0</v>
      </c>
      <c r="M196" t="s">
        <v>43</v>
      </c>
      <c r="N196" t="s">
        <v>65</v>
      </c>
      <c r="O196" t="s">
        <v>194</v>
      </c>
      <c r="P196" t="s">
        <v>183</v>
      </c>
      <c r="Q196" t="s">
        <v>56</v>
      </c>
      <c r="R196" s="1" t="d">
        <v>2024-12-04</v>
      </c>
      <c r="S196" t="s">
        <v>33</v>
      </c>
      <c r="T196" t="s">
        <v>34</v>
      </c>
      <c r="W196" t="s">
        <v>35</v>
      </c>
    </row>
    <row r="197" spans="1:23">
      <c r="A197" t="s">
        <v>870</v>
      </c>
      <c r="B197" s="1" t="d">
        <v>2024-11-21</v>
      </c>
      <c r="C197" t="s">
        <v>871</v>
      </c>
      <c r="D197" t="s">
        <v>25</v>
      </c>
      <c r="E197" t="s">
        <v>872</v>
      </c>
      <c r="F197" t="s">
        <v>27</v>
      </c>
      <c r="G197" t="s">
        <v>873</v>
      </c>
      <c r="H197">
        <v>1999</v>
      </c>
      <c r="I197">
        <v>1</v>
      </c>
      <c r="J197">
        <v>1999</v>
      </c>
      <c r="L197">
        <v>0</v>
      </c>
      <c r="M197" t="s">
        <v>29</v>
      </c>
      <c r="N197" t="s">
        <v>30</v>
      </c>
      <c r="O197" t="s">
        <v>199</v>
      </c>
      <c r="P197" t="s">
        <v>57</v>
      </c>
      <c r="Q197" t="s">
        <v>56</v>
      </c>
      <c r="R197" s="1" t="d">
        <v>2024-12-05</v>
      </c>
      <c r="S197" t="s">
        <v>33</v>
      </c>
      <c r="T197" t="s">
        <v>46</v>
      </c>
      <c r="U197" t="s">
        <v>47</v>
      </c>
      <c r="V197" s="1" t="d">
        <v>2025-01-03</v>
      </c>
      <c r="W197" t="s">
        <v>48</v>
      </c>
    </row>
    <row r="198" spans="1:23">
      <c r="A198" t="s">
        <v>874</v>
      </c>
      <c r="B198" s="1" t="d">
        <v>2024-11-21</v>
      </c>
      <c r="C198" t="s">
        <v>875</v>
      </c>
      <c r="D198" t="s">
        <v>25</v>
      </c>
      <c r="E198" t="s">
        <v>876</v>
      </c>
      <c r="F198" t="s">
        <v>40</v>
      </c>
      <c r="G198" t="s">
        <v>877</v>
      </c>
      <c r="H198">
        <v>3499</v>
      </c>
      <c r="I198">
        <v>1</v>
      </c>
      <c r="J198">
        <v>3499</v>
      </c>
      <c r="K198" s="2" t="d">
        <v>2015-11-01</v>
      </c>
      <c r="L198">
        <v>15</v>
      </c>
      <c r="M198" t="s">
        <v>55</v>
      </c>
      <c r="N198" t="s">
        <v>44</v>
      </c>
      <c r="O198" t="s">
        <v>204</v>
      </c>
      <c r="P198" t="s">
        <v>97</v>
      </c>
      <c r="Q198" t="s">
        <v>31</v>
      </c>
      <c r="R198" s="1" t="d">
        <v>2024-12-07</v>
      </c>
      <c r="S198" t="s">
        <v>33</v>
      </c>
      <c r="T198" t="s">
        <v>46</v>
      </c>
      <c r="U198" t="s">
        <v>104</v>
      </c>
      <c r="V198" s="1" t="d">
        <v>2025-01-05</v>
      </c>
      <c r="W198" t="s">
        <v>48</v>
      </c>
    </row>
    <row r="199" spans="1:23">
      <c r="A199" t="s">
        <v>878</v>
      </c>
      <c r="B199" s="1" t="d">
        <v>2024-11-21</v>
      </c>
      <c r="C199" t="s">
        <v>879</v>
      </c>
      <c r="D199" t="s">
        <v>38</v>
      </c>
      <c r="E199" t="s">
        <v>880</v>
      </c>
      <c r="F199" t="s">
        <v>53</v>
      </c>
      <c r="G199" t="s">
        <v>881</v>
      </c>
      <c r="H199">
        <v>2599</v>
      </c>
      <c r="I199">
        <v>1</v>
      </c>
      <c r="J199">
        <v>2599</v>
      </c>
      <c r="L199">
        <v>0</v>
      </c>
      <c r="M199" t="s">
        <v>43</v>
      </c>
      <c r="N199" t="s">
        <v>65</v>
      </c>
      <c r="O199" t="s">
        <v>209</v>
      </c>
      <c r="P199" t="s">
        <v>97</v>
      </c>
      <c r="Q199" t="s">
        <v>31</v>
      </c>
      <c r="R199" s="1" t="d">
        <v>2024-12-05</v>
      </c>
      <c r="S199" t="s">
        <v>33</v>
      </c>
      <c r="T199" t="s">
        <v>34</v>
      </c>
      <c r="W199" t="s">
        <v>35</v>
      </c>
    </row>
    <row r="200" spans="1:23">
      <c r="A200" t="s">
        <v>882</v>
      </c>
      <c r="B200" s="1" t="d">
        <v>2024-11-22</v>
      </c>
      <c r="C200" t="s">
        <v>883</v>
      </c>
      <c r="D200" t="s">
        <v>25</v>
      </c>
      <c r="E200" t="s">
        <v>884</v>
      </c>
      <c r="F200" t="s">
        <v>61</v>
      </c>
      <c r="G200" t="s">
        <v>885</v>
      </c>
      <c r="H200">
        <v>5499</v>
      </c>
      <c r="I200">
        <v>1</v>
      </c>
      <c r="J200">
        <v>5499</v>
      </c>
      <c r="L200">
        <v>0</v>
      </c>
      <c r="M200" t="s">
        <v>111</v>
      </c>
      <c r="N200" t="s">
        <v>30</v>
      </c>
      <c r="O200" t="s">
        <v>214</v>
      </c>
      <c r="P200" t="s">
        <v>113</v>
      </c>
      <c r="Q200" t="s">
        <v>45</v>
      </c>
      <c r="R200" s="1" t="d">
        <v>2024-12-08</v>
      </c>
      <c r="S200" t="s">
        <v>33</v>
      </c>
      <c r="T200" t="s">
        <v>46</v>
      </c>
      <c r="U200" t="s">
        <v>79</v>
      </c>
      <c r="V200" s="1" t="d">
        <v>2025-01-06</v>
      </c>
      <c r="W200" t="s">
        <v>48</v>
      </c>
    </row>
    <row r="201" spans="1:23">
      <c r="A201" t="s">
        <v>886</v>
      </c>
      <c r="B201" s="1" t="d">
        <v>2024-11-22</v>
      </c>
      <c r="C201" t="s">
        <v>887</v>
      </c>
      <c r="D201" t="s">
        <v>25</v>
      </c>
      <c r="E201" t="s">
        <v>888</v>
      </c>
      <c r="F201" t="s">
        <v>71</v>
      </c>
      <c r="G201" t="s">
        <v>889</v>
      </c>
      <c r="H201">
        <v>999</v>
      </c>
      <c r="I201">
        <v>1</v>
      </c>
      <c r="J201">
        <v>999</v>
      </c>
      <c r="L201">
        <v>0</v>
      </c>
      <c r="M201" t="s">
        <v>64</v>
      </c>
      <c r="N201" t="s">
        <v>44</v>
      </c>
      <c r="O201" t="s">
        <v>31</v>
      </c>
      <c r="P201" t="s">
        <v>32</v>
      </c>
      <c r="Q201" t="s">
        <v>31</v>
      </c>
      <c r="R201" s="1" t="d">
        <v>2024-12-06</v>
      </c>
      <c r="S201" t="s">
        <v>33</v>
      </c>
      <c r="T201" t="s">
        <v>34</v>
      </c>
      <c r="W201" t="s">
        <v>35</v>
      </c>
    </row>
    <row r="202" spans="1:23">
      <c r="A202" t="s">
        <v>890</v>
      </c>
      <c r="B202" s="1" t="d">
        <v>2024-11-22</v>
      </c>
      <c r="C202" t="s">
        <v>891</v>
      </c>
      <c r="D202" t="s">
        <v>25</v>
      </c>
      <c r="E202" t="s">
        <v>892</v>
      </c>
      <c r="F202" t="s">
        <v>27</v>
      </c>
      <c r="G202" t="s">
        <v>893</v>
      </c>
      <c r="H202">
        <v>1699</v>
      </c>
      <c r="I202">
        <v>1</v>
      </c>
      <c r="J202">
        <v>1699</v>
      </c>
      <c r="K202" s="2" t="d">
        <v>2015-11-01</v>
      </c>
      <c r="L202">
        <v>15</v>
      </c>
      <c r="M202" t="s">
        <v>29</v>
      </c>
      <c r="N202" t="s">
        <v>65</v>
      </c>
      <c r="O202" t="s">
        <v>45</v>
      </c>
      <c r="P202" t="s">
        <v>45</v>
      </c>
      <c r="Q202" t="s">
        <v>45</v>
      </c>
      <c r="R202" s="1" t="d">
        <v>2024-12-07</v>
      </c>
      <c r="S202" t="s">
        <v>33</v>
      </c>
      <c r="T202" t="s">
        <v>46</v>
      </c>
      <c r="U202" t="s">
        <v>138</v>
      </c>
      <c r="V202" s="1" t="d">
        <v>2025-01-05</v>
      </c>
      <c r="W202" t="s">
        <v>48</v>
      </c>
    </row>
    <row r="203" spans="1:23">
      <c r="A203" t="s">
        <v>894</v>
      </c>
      <c r="B203" s="1" t="d">
        <v>2024-11-23</v>
      </c>
      <c r="C203" t="s">
        <v>895</v>
      </c>
      <c r="D203" t="s">
        <v>25</v>
      </c>
      <c r="E203" t="s">
        <v>896</v>
      </c>
      <c r="F203" t="s">
        <v>40</v>
      </c>
      <c r="G203" t="s">
        <v>897</v>
      </c>
      <c r="H203">
        <v>2799</v>
      </c>
      <c r="I203">
        <v>1</v>
      </c>
      <c r="J203">
        <v>2799</v>
      </c>
      <c r="L203">
        <v>0</v>
      </c>
      <c r="M203" t="s">
        <v>43</v>
      </c>
      <c r="N203" t="s">
        <v>30</v>
      </c>
      <c r="O203" t="s">
        <v>90</v>
      </c>
      <c r="P203" t="s">
        <v>91</v>
      </c>
      <c r="Q203" t="s">
        <v>45</v>
      </c>
      <c r="R203" s="1" t="d">
        <v>2024-12-09</v>
      </c>
      <c r="S203" t="s">
        <v>33</v>
      </c>
      <c r="T203" t="s">
        <v>34</v>
      </c>
      <c r="W203" t="s">
        <v>35</v>
      </c>
    </row>
    <row r="204" spans="1:23">
      <c r="A204" t="s">
        <v>898</v>
      </c>
      <c r="B204" s="1" t="d">
        <v>2024-11-23</v>
      </c>
      <c r="C204" t="s">
        <v>899</v>
      </c>
      <c r="D204" t="s">
        <v>38</v>
      </c>
      <c r="E204" t="s">
        <v>900</v>
      </c>
      <c r="F204" t="s">
        <v>53</v>
      </c>
      <c r="G204" t="s">
        <v>901</v>
      </c>
      <c r="H204">
        <v>2399</v>
      </c>
      <c r="I204">
        <v>1</v>
      </c>
      <c r="J204">
        <v>2399</v>
      </c>
      <c r="L204">
        <v>0</v>
      </c>
      <c r="M204" t="s">
        <v>55</v>
      </c>
      <c r="N204" t="s">
        <v>44</v>
      </c>
      <c r="O204" t="s">
        <v>66</v>
      </c>
      <c r="P204" t="s">
        <v>67</v>
      </c>
      <c r="Q204" t="s">
        <v>56</v>
      </c>
      <c r="R204" s="1" t="d">
        <v>2024-12-07</v>
      </c>
      <c r="S204" t="s">
        <v>33</v>
      </c>
      <c r="T204" t="s">
        <v>46</v>
      </c>
      <c r="U204" t="s">
        <v>68</v>
      </c>
      <c r="V204" s="1" t="d">
        <v>2025-01-04</v>
      </c>
      <c r="W204" t="s">
        <v>48</v>
      </c>
    </row>
    <row r="205" spans="1:23">
      <c r="A205" t="s">
        <v>902</v>
      </c>
      <c r="B205" s="1" t="d">
        <v>2024-11-23</v>
      </c>
      <c r="C205" t="s">
        <v>903</v>
      </c>
      <c r="D205" t="s">
        <v>25</v>
      </c>
      <c r="E205" t="s">
        <v>904</v>
      </c>
      <c r="F205" t="s">
        <v>61</v>
      </c>
      <c r="G205" t="s">
        <v>905</v>
      </c>
      <c r="H205">
        <v>6799</v>
      </c>
      <c r="I205">
        <v>1</v>
      </c>
      <c r="J205">
        <v>6799</v>
      </c>
      <c r="L205">
        <v>0</v>
      </c>
      <c r="M205" t="s">
        <v>29</v>
      </c>
      <c r="N205" t="s">
        <v>65</v>
      </c>
      <c r="O205" t="s">
        <v>77</v>
      </c>
      <c r="P205" t="s">
        <v>78</v>
      </c>
      <c r="Q205" t="s">
        <v>56</v>
      </c>
      <c r="R205" s="1" t="d">
        <v>2024-12-10</v>
      </c>
      <c r="S205" t="s">
        <v>33</v>
      </c>
      <c r="T205" t="s">
        <v>46</v>
      </c>
      <c r="U205" t="s">
        <v>47</v>
      </c>
      <c r="V205" s="1" t="d">
        <v>2025-01-08</v>
      </c>
      <c r="W205" t="s">
        <v>48</v>
      </c>
    </row>
    <row r="206" spans="1:23">
      <c r="A206" t="s">
        <v>906</v>
      </c>
      <c r="B206" s="1" t="d">
        <v>2024-11-24</v>
      </c>
      <c r="C206" t="s">
        <v>907</v>
      </c>
      <c r="D206" t="s">
        <v>25</v>
      </c>
      <c r="E206" t="s">
        <v>908</v>
      </c>
      <c r="F206" t="s">
        <v>71</v>
      </c>
      <c r="G206" t="s">
        <v>909</v>
      </c>
      <c r="H206">
        <v>1499</v>
      </c>
      <c r="I206">
        <v>1</v>
      </c>
      <c r="J206">
        <v>1499</v>
      </c>
      <c r="K206" s="2" t="d">
        <v>2015-11-01</v>
      </c>
      <c r="L206">
        <v>15</v>
      </c>
      <c r="M206" t="s">
        <v>111</v>
      </c>
      <c r="N206" t="s">
        <v>30</v>
      </c>
      <c r="O206" t="s">
        <v>84</v>
      </c>
      <c r="P206" t="s">
        <v>32</v>
      </c>
      <c r="Q206" t="s">
        <v>31</v>
      </c>
      <c r="R206" s="1" t="d">
        <v>2024-12-08</v>
      </c>
      <c r="S206" t="s">
        <v>33</v>
      </c>
      <c r="T206" t="s">
        <v>34</v>
      </c>
      <c r="W206" t="s">
        <v>35</v>
      </c>
    </row>
    <row r="207" spans="1:23">
      <c r="A207" t="s">
        <v>910</v>
      </c>
      <c r="B207" s="1" t="d">
        <v>2024-11-24</v>
      </c>
      <c r="C207" t="s">
        <v>911</v>
      </c>
      <c r="D207" t="s">
        <v>25</v>
      </c>
      <c r="E207" t="s">
        <v>912</v>
      </c>
      <c r="F207" t="s">
        <v>27</v>
      </c>
      <c r="G207" t="s">
        <v>913</v>
      </c>
      <c r="H207">
        <v>2299</v>
      </c>
      <c r="I207">
        <v>1</v>
      </c>
      <c r="J207">
        <v>2299</v>
      </c>
      <c r="L207">
        <v>0</v>
      </c>
      <c r="M207" t="s">
        <v>64</v>
      </c>
      <c r="N207" t="s">
        <v>44</v>
      </c>
      <c r="O207" t="s">
        <v>96</v>
      </c>
      <c r="P207" t="s">
        <v>97</v>
      </c>
      <c r="Q207" t="s">
        <v>31</v>
      </c>
      <c r="R207" s="1" t="d">
        <v>2024-12-09</v>
      </c>
      <c r="S207" t="s">
        <v>33</v>
      </c>
      <c r="T207" t="s">
        <v>46</v>
      </c>
      <c r="U207" t="s">
        <v>104</v>
      </c>
      <c r="V207" s="1" t="d">
        <v>2025-01-07</v>
      </c>
      <c r="W207" t="s">
        <v>48</v>
      </c>
    </row>
    <row r="208" spans="1:23">
      <c r="A208" t="s">
        <v>914</v>
      </c>
      <c r="B208" s="1" t="d">
        <v>2024-11-24</v>
      </c>
      <c r="C208" t="s">
        <v>915</v>
      </c>
      <c r="D208" t="s">
        <v>25</v>
      </c>
      <c r="E208" t="s">
        <v>916</v>
      </c>
      <c r="F208" t="s">
        <v>40</v>
      </c>
      <c r="G208" t="s">
        <v>917</v>
      </c>
      <c r="H208">
        <v>4999</v>
      </c>
      <c r="I208">
        <v>1</v>
      </c>
      <c r="J208">
        <v>4999</v>
      </c>
      <c r="L208">
        <v>0</v>
      </c>
      <c r="M208" t="s">
        <v>43</v>
      </c>
      <c r="N208" t="s">
        <v>65</v>
      </c>
      <c r="O208" t="s">
        <v>102</v>
      </c>
      <c r="P208" t="s">
        <v>103</v>
      </c>
      <c r="Q208" t="s">
        <v>45</v>
      </c>
      <c r="R208" s="1" t="d">
        <v>2024-12-11</v>
      </c>
      <c r="S208" t="s">
        <v>33</v>
      </c>
      <c r="T208" t="s">
        <v>34</v>
      </c>
      <c r="W208" t="s">
        <v>35</v>
      </c>
    </row>
    <row r="209" spans="1:23">
      <c r="A209" t="s">
        <v>918</v>
      </c>
      <c r="B209" s="1" t="d">
        <v>2024-11-25</v>
      </c>
      <c r="C209" t="s">
        <v>919</v>
      </c>
      <c r="D209" t="s">
        <v>38</v>
      </c>
      <c r="E209" t="s">
        <v>920</v>
      </c>
      <c r="F209" t="s">
        <v>53</v>
      </c>
      <c r="G209" t="s">
        <v>921</v>
      </c>
      <c r="H209">
        <v>2099</v>
      </c>
      <c r="I209">
        <v>1</v>
      </c>
      <c r="J209">
        <v>2099</v>
      </c>
      <c r="L209">
        <v>0</v>
      </c>
      <c r="M209" t="s">
        <v>29</v>
      </c>
      <c r="N209" t="s">
        <v>30</v>
      </c>
      <c r="O209" t="s">
        <v>112</v>
      </c>
      <c r="P209" t="s">
        <v>113</v>
      </c>
      <c r="Q209" t="s">
        <v>45</v>
      </c>
      <c r="R209" s="1" t="d">
        <v>2024-12-09</v>
      </c>
      <c r="S209" t="s">
        <v>33</v>
      </c>
      <c r="T209" t="s">
        <v>46</v>
      </c>
      <c r="U209" t="s">
        <v>79</v>
      </c>
      <c r="V209" s="1" t="d">
        <v>2025-01-06</v>
      </c>
      <c r="W209" t="s">
        <v>48</v>
      </c>
    </row>
    <row r="210" spans="1:23">
      <c r="A210" t="s">
        <v>922</v>
      </c>
      <c r="B210" s="1" t="d">
        <v>2024-11-25</v>
      </c>
      <c r="C210" t="s">
        <v>923</v>
      </c>
      <c r="D210" t="s">
        <v>25</v>
      </c>
      <c r="E210" t="s">
        <v>924</v>
      </c>
      <c r="F210" t="s">
        <v>61</v>
      </c>
      <c r="G210" t="s">
        <v>925</v>
      </c>
      <c r="H210">
        <v>5799</v>
      </c>
      <c r="I210">
        <v>1</v>
      </c>
      <c r="J210">
        <v>5799</v>
      </c>
      <c r="K210" s="2" t="d">
        <v>2015-11-01</v>
      </c>
      <c r="L210">
        <v>15</v>
      </c>
      <c r="M210" t="s">
        <v>55</v>
      </c>
      <c r="N210" t="s">
        <v>44</v>
      </c>
      <c r="O210" t="s">
        <v>56</v>
      </c>
      <c r="P210" t="s">
        <v>57</v>
      </c>
      <c r="Q210" t="s">
        <v>56</v>
      </c>
      <c r="R210" s="1" t="d">
        <v>2024-12-12</v>
      </c>
      <c r="S210" t="s">
        <v>33</v>
      </c>
      <c r="T210" t="s">
        <v>46</v>
      </c>
      <c r="U210" t="s">
        <v>47</v>
      </c>
      <c r="V210" s="1" t="d">
        <v>2025-01-10</v>
      </c>
      <c r="W210" t="s">
        <v>48</v>
      </c>
    </row>
    <row r="211" spans="1:23">
      <c r="A211" t="s">
        <v>926</v>
      </c>
      <c r="B211" s="1" t="d">
        <v>2024-11-25</v>
      </c>
      <c r="C211" t="s">
        <v>927</v>
      </c>
      <c r="D211" t="s">
        <v>25</v>
      </c>
      <c r="E211" t="s">
        <v>928</v>
      </c>
      <c r="F211" t="s">
        <v>71</v>
      </c>
      <c r="G211" t="s">
        <v>929</v>
      </c>
      <c r="H211">
        <v>1199</v>
      </c>
      <c r="I211">
        <v>1</v>
      </c>
      <c r="J211">
        <v>1199</v>
      </c>
      <c r="L211">
        <v>0</v>
      </c>
      <c r="M211" t="s">
        <v>43</v>
      </c>
      <c r="N211" t="s">
        <v>65</v>
      </c>
      <c r="O211" t="s">
        <v>31</v>
      </c>
      <c r="P211" t="s">
        <v>32</v>
      </c>
      <c r="Q211" t="s">
        <v>31</v>
      </c>
      <c r="R211" s="1" t="d">
        <v>2024-12-10</v>
      </c>
      <c r="S211" t="s">
        <v>33</v>
      </c>
      <c r="T211" t="s">
        <v>34</v>
      </c>
      <c r="W211" t="s">
        <v>35</v>
      </c>
    </row>
    <row r="212" spans="1:23">
      <c r="A212" t="s">
        <v>930</v>
      </c>
      <c r="B212" s="1" t="d">
        <v>2024-11-26</v>
      </c>
      <c r="C212" t="s">
        <v>931</v>
      </c>
      <c r="D212" t="s">
        <v>25</v>
      </c>
      <c r="E212" t="s">
        <v>932</v>
      </c>
      <c r="F212" t="s">
        <v>27</v>
      </c>
      <c r="G212" t="s">
        <v>933</v>
      </c>
      <c r="H212">
        <v>1899</v>
      </c>
      <c r="I212">
        <v>1</v>
      </c>
      <c r="J212">
        <v>1899</v>
      </c>
      <c r="L212">
        <v>0</v>
      </c>
      <c r="M212" t="s">
        <v>111</v>
      </c>
      <c r="N212" t="s">
        <v>30</v>
      </c>
      <c r="O212" t="s">
        <v>45</v>
      </c>
      <c r="P212" t="s">
        <v>45</v>
      </c>
      <c r="Q212" t="s">
        <v>45</v>
      </c>
      <c r="R212" s="1" t="d">
        <v>2024-12-11</v>
      </c>
      <c r="S212" t="s">
        <v>33</v>
      </c>
      <c r="T212" t="s">
        <v>46</v>
      </c>
      <c r="U212" t="s">
        <v>138</v>
      </c>
      <c r="V212" s="1" t="d">
        <v>2025-01-08</v>
      </c>
      <c r="W212" t="s">
        <v>48</v>
      </c>
    </row>
    <row r="213" spans="1:23">
      <c r="A213" t="s">
        <v>934</v>
      </c>
      <c r="B213" s="1" t="d">
        <v>2024-11-26</v>
      </c>
      <c r="C213" t="s">
        <v>935</v>
      </c>
      <c r="D213" t="s">
        <v>25</v>
      </c>
      <c r="E213" t="s">
        <v>936</v>
      </c>
      <c r="F213" t="s">
        <v>40</v>
      </c>
      <c r="G213" t="s">
        <v>937</v>
      </c>
      <c r="H213">
        <v>3699</v>
      </c>
      <c r="I213">
        <v>1</v>
      </c>
      <c r="J213">
        <v>3699</v>
      </c>
      <c r="L213">
        <v>0</v>
      </c>
      <c r="M213" t="s">
        <v>64</v>
      </c>
      <c r="N213" t="s">
        <v>44</v>
      </c>
      <c r="O213" t="s">
        <v>118</v>
      </c>
      <c r="P213" t="s">
        <v>119</v>
      </c>
      <c r="Q213" t="s">
        <v>45</v>
      </c>
      <c r="R213" s="1" t="d">
        <v>2024-12-13</v>
      </c>
      <c r="S213" t="s">
        <v>33</v>
      </c>
      <c r="T213" t="s">
        <v>34</v>
      </c>
      <c r="W213" t="s">
        <v>35</v>
      </c>
    </row>
    <row r="214" spans="1:23">
      <c r="A214" t="s">
        <v>938</v>
      </c>
      <c r="B214" s="1" t="d">
        <v>2024-11-26</v>
      </c>
      <c r="C214" t="s">
        <v>939</v>
      </c>
      <c r="D214" t="s">
        <v>38</v>
      </c>
      <c r="E214" t="s">
        <v>940</v>
      </c>
      <c r="F214" t="s">
        <v>53</v>
      </c>
      <c r="G214" t="s">
        <v>941</v>
      </c>
      <c r="H214">
        <v>2699</v>
      </c>
      <c r="I214">
        <v>1</v>
      </c>
      <c r="J214">
        <v>2699</v>
      </c>
      <c r="K214" s="2" t="d">
        <v>2015-11-01</v>
      </c>
      <c r="L214">
        <v>15</v>
      </c>
      <c r="M214" t="s">
        <v>29</v>
      </c>
      <c r="N214" t="s">
        <v>65</v>
      </c>
      <c r="O214" t="s">
        <v>137</v>
      </c>
      <c r="P214" t="s">
        <v>113</v>
      </c>
      <c r="Q214" t="s">
        <v>45</v>
      </c>
      <c r="R214" s="1" t="d">
        <v>2024-12-11</v>
      </c>
      <c r="S214" t="s">
        <v>33</v>
      </c>
      <c r="T214" t="s">
        <v>46</v>
      </c>
      <c r="U214" t="s">
        <v>68</v>
      </c>
      <c r="V214" s="1" t="d">
        <v>2025-01-09</v>
      </c>
      <c r="W214" t="s">
        <v>48</v>
      </c>
    </row>
    <row r="215" spans="1:23">
      <c r="A215" t="s">
        <v>942</v>
      </c>
      <c r="B215" s="1" t="d">
        <v>2024-11-27</v>
      </c>
      <c r="C215" t="s">
        <v>943</v>
      </c>
      <c r="D215" t="s">
        <v>25</v>
      </c>
      <c r="E215" t="s">
        <v>944</v>
      </c>
      <c r="F215" t="s">
        <v>61</v>
      </c>
      <c r="G215" t="s">
        <v>945</v>
      </c>
      <c r="H215">
        <v>4999</v>
      </c>
      <c r="I215">
        <v>1</v>
      </c>
      <c r="J215">
        <v>4999</v>
      </c>
      <c r="L215">
        <v>0</v>
      </c>
      <c r="M215" t="s">
        <v>43</v>
      </c>
      <c r="N215" t="s">
        <v>30</v>
      </c>
      <c r="O215" t="s">
        <v>143</v>
      </c>
      <c r="P215" t="s">
        <v>144</v>
      </c>
      <c r="Q215" t="s">
        <v>45</v>
      </c>
      <c r="R215" s="1" t="d">
        <v>2024-12-14</v>
      </c>
      <c r="S215" t="s">
        <v>33</v>
      </c>
      <c r="T215" t="s">
        <v>46</v>
      </c>
      <c r="U215" t="s">
        <v>47</v>
      </c>
      <c r="V215" s="1" t="d">
        <v>2025-01-12</v>
      </c>
      <c r="W215" t="s">
        <v>48</v>
      </c>
    </row>
    <row r="216" spans="1:23">
      <c r="A216" t="s">
        <v>946</v>
      </c>
      <c r="B216" s="1" t="d">
        <v>2024-11-27</v>
      </c>
      <c r="C216" t="s">
        <v>947</v>
      </c>
      <c r="D216" t="s">
        <v>25</v>
      </c>
      <c r="E216" t="s">
        <v>948</v>
      </c>
      <c r="F216" t="s">
        <v>71</v>
      </c>
      <c r="G216" t="s">
        <v>949</v>
      </c>
      <c r="H216">
        <v>899</v>
      </c>
      <c r="I216">
        <v>2</v>
      </c>
      <c r="J216">
        <v>1798</v>
      </c>
      <c r="L216">
        <v>0</v>
      </c>
      <c r="M216" t="s">
        <v>55</v>
      </c>
      <c r="N216" t="s">
        <v>44</v>
      </c>
      <c r="O216" t="s">
        <v>150</v>
      </c>
      <c r="P216" t="s">
        <v>151</v>
      </c>
      <c r="Q216" t="s">
        <v>31</v>
      </c>
      <c r="R216" s="1" t="d">
        <v>2024-12-12</v>
      </c>
      <c r="S216" t="s">
        <v>33</v>
      </c>
      <c r="T216" t="s">
        <v>34</v>
      </c>
      <c r="W216" t="s">
        <v>35</v>
      </c>
    </row>
    <row r="217" spans="1:23">
      <c r="A217" t="s">
        <v>950</v>
      </c>
      <c r="B217" s="1" t="d">
        <v>2024-11-27</v>
      </c>
      <c r="C217" t="s">
        <v>951</v>
      </c>
      <c r="D217" t="s">
        <v>25</v>
      </c>
      <c r="E217" t="s">
        <v>952</v>
      </c>
      <c r="F217" t="s">
        <v>27</v>
      </c>
      <c r="G217" t="s">
        <v>953</v>
      </c>
      <c r="H217">
        <v>1599</v>
      </c>
      <c r="I217">
        <v>1</v>
      </c>
      <c r="J217">
        <v>1599</v>
      </c>
      <c r="L217">
        <v>0</v>
      </c>
      <c r="M217" t="s">
        <v>29</v>
      </c>
      <c r="N217" t="s">
        <v>65</v>
      </c>
      <c r="O217" t="s">
        <v>156</v>
      </c>
      <c r="P217" t="s">
        <v>97</v>
      </c>
      <c r="Q217" t="s">
        <v>31</v>
      </c>
      <c r="R217" s="1" t="d">
        <v>2024-12-13</v>
      </c>
      <c r="S217" t="s">
        <v>33</v>
      </c>
      <c r="T217" t="s">
        <v>46</v>
      </c>
      <c r="U217" t="s">
        <v>104</v>
      </c>
      <c r="V217" s="1" t="d">
        <v>2025-01-10</v>
      </c>
      <c r="W217" t="s">
        <v>48</v>
      </c>
    </row>
    <row r="218" spans="1:23">
      <c r="A218" t="s">
        <v>954</v>
      </c>
      <c r="B218" s="1" t="d">
        <v>2024-11-28</v>
      </c>
      <c r="C218" t="s">
        <v>955</v>
      </c>
      <c r="D218" t="s">
        <v>25</v>
      </c>
      <c r="E218" t="s">
        <v>956</v>
      </c>
      <c r="F218" t="s">
        <v>40</v>
      </c>
      <c r="G218" t="s">
        <v>957</v>
      </c>
      <c r="H218">
        <v>2599</v>
      </c>
      <c r="I218">
        <v>1</v>
      </c>
      <c r="J218">
        <v>2599</v>
      </c>
      <c r="K218" s="2" t="d">
        <v>2015-11-01</v>
      </c>
      <c r="L218">
        <v>15</v>
      </c>
      <c r="M218" t="s">
        <v>111</v>
      </c>
      <c r="N218" t="s">
        <v>30</v>
      </c>
      <c r="O218" t="s">
        <v>161</v>
      </c>
      <c r="P218" t="s">
        <v>162</v>
      </c>
      <c r="Q218" t="s">
        <v>45</v>
      </c>
      <c r="R218" s="1" t="d">
        <v>2024-12-15</v>
      </c>
      <c r="S218" t="s">
        <v>33</v>
      </c>
      <c r="T218" t="s">
        <v>34</v>
      </c>
      <c r="W218" t="s">
        <v>35</v>
      </c>
    </row>
    <row r="219" spans="1:23">
      <c r="A219" t="s">
        <v>958</v>
      </c>
      <c r="B219" s="1" t="d">
        <v>2024-11-28</v>
      </c>
      <c r="C219" t="s">
        <v>959</v>
      </c>
      <c r="D219" t="s">
        <v>38</v>
      </c>
      <c r="E219" t="s">
        <v>960</v>
      </c>
      <c r="F219" t="s">
        <v>53</v>
      </c>
      <c r="G219" t="s">
        <v>961</v>
      </c>
      <c r="H219">
        <v>2399</v>
      </c>
      <c r="I219">
        <v>1</v>
      </c>
      <c r="J219">
        <v>2399</v>
      </c>
      <c r="L219">
        <v>0</v>
      </c>
      <c r="M219" t="s">
        <v>64</v>
      </c>
      <c r="N219" t="s">
        <v>44</v>
      </c>
      <c r="O219" t="s">
        <v>167</v>
      </c>
      <c r="P219" t="s">
        <v>151</v>
      </c>
      <c r="Q219" t="s">
        <v>31</v>
      </c>
      <c r="R219" s="1" t="d">
        <v>2024-12-13</v>
      </c>
      <c r="S219" t="s">
        <v>33</v>
      </c>
      <c r="T219" t="s">
        <v>46</v>
      </c>
      <c r="U219" t="s">
        <v>79</v>
      </c>
      <c r="V219" s="1" t="d">
        <v>2025-01-11</v>
      </c>
      <c r="W219" t="s">
        <v>48</v>
      </c>
    </row>
    <row r="220" spans="1:23">
      <c r="A220" t="s">
        <v>962</v>
      </c>
      <c r="B220" s="1" t="d">
        <v>2024-11-28</v>
      </c>
      <c r="C220" t="s">
        <v>963</v>
      </c>
      <c r="D220" t="s">
        <v>25</v>
      </c>
      <c r="E220" t="s">
        <v>964</v>
      </c>
      <c r="F220" t="s">
        <v>61</v>
      </c>
      <c r="G220" t="s">
        <v>965</v>
      </c>
      <c r="H220">
        <v>6499</v>
      </c>
      <c r="I220">
        <v>1</v>
      </c>
      <c r="J220">
        <v>6499</v>
      </c>
      <c r="L220">
        <v>0</v>
      </c>
      <c r="M220" t="s">
        <v>43</v>
      </c>
      <c r="N220" t="s">
        <v>65</v>
      </c>
      <c r="O220" t="s">
        <v>172</v>
      </c>
      <c r="P220" t="s">
        <v>32</v>
      </c>
      <c r="Q220" t="s">
        <v>31</v>
      </c>
      <c r="R220" s="1" t="d">
        <v>2024-12-16</v>
      </c>
      <c r="S220" t="s">
        <v>33</v>
      </c>
      <c r="T220" t="s">
        <v>46</v>
      </c>
      <c r="U220" t="s">
        <v>47</v>
      </c>
      <c r="V220" s="1" t="d">
        <v>2025-01-14</v>
      </c>
      <c r="W220" t="s">
        <v>48</v>
      </c>
    </row>
    <row r="221" spans="1:23">
      <c r="A221" t="s">
        <v>966</v>
      </c>
      <c r="B221" s="1" t="d">
        <v>2024-11-29</v>
      </c>
      <c r="C221" t="s">
        <v>967</v>
      </c>
      <c r="D221" t="s">
        <v>25</v>
      </c>
      <c r="E221" t="s">
        <v>968</v>
      </c>
      <c r="F221" t="s">
        <v>71</v>
      </c>
      <c r="G221" t="s">
        <v>969</v>
      </c>
      <c r="H221">
        <v>499</v>
      </c>
      <c r="I221">
        <v>2</v>
      </c>
      <c r="J221">
        <v>998</v>
      </c>
      <c r="L221">
        <v>0</v>
      </c>
      <c r="M221" t="s">
        <v>29</v>
      </c>
      <c r="N221" t="s">
        <v>30</v>
      </c>
      <c r="O221" t="s">
        <v>177</v>
      </c>
      <c r="P221" t="s">
        <v>67</v>
      </c>
      <c r="Q221" t="s">
        <v>56</v>
      </c>
      <c r="R221" s="1" t="d">
        <v>2024-12-14</v>
      </c>
      <c r="S221" t="s">
        <v>33</v>
      </c>
      <c r="T221" t="s">
        <v>34</v>
      </c>
      <c r="W221" t="s">
        <v>35</v>
      </c>
    </row>
    <row r="222" spans="1:23">
      <c r="A222" t="s">
        <v>970</v>
      </c>
      <c r="B222" s="1" t="d">
        <v>2024-11-29</v>
      </c>
      <c r="C222" t="s">
        <v>971</v>
      </c>
      <c r="D222" t="s">
        <v>25</v>
      </c>
      <c r="E222" t="s">
        <v>972</v>
      </c>
      <c r="F222" t="s">
        <v>27</v>
      </c>
      <c r="G222" t="s">
        <v>973</v>
      </c>
      <c r="H222">
        <v>1999</v>
      </c>
      <c r="I222">
        <v>1</v>
      </c>
      <c r="J222">
        <v>1999</v>
      </c>
      <c r="L222">
        <v>0</v>
      </c>
      <c r="M222" t="s">
        <v>55</v>
      </c>
      <c r="N222" t="s">
        <v>44</v>
      </c>
      <c r="O222" t="s">
        <v>182</v>
      </c>
      <c r="P222" t="s">
        <v>183</v>
      </c>
      <c r="Q222" t="s">
        <v>56</v>
      </c>
      <c r="S222" t="s">
        <v>120</v>
      </c>
      <c r="T222" t="s">
        <v>34</v>
      </c>
      <c r="W222" t="s">
        <v>35</v>
      </c>
    </row>
    <row r="223" spans="1:23">
      <c r="A223" t="s">
        <v>974</v>
      </c>
      <c r="B223" s="1" t="d">
        <v>2024-11-29</v>
      </c>
      <c r="C223" t="s">
        <v>975</v>
      </c>
      <c r="D223" t="s">
        <v>25</v>
      </c>
      <c r="E223" t="s">
        <v>976</v>
      </c>
      <c r="F223" t="s">
        <v>40</v>
      </c>
      <c r="G223" t="s">
        <v>977</v>
      </c>
      <c r="H223">
        <v>5499</v>
      </c>
      <c r="I223">
        <v>1</v>
      </c>
      <c r="J223">
        <v>5499</v>
      </c>
      <c r="K223" s="2" t="d">
        <v>2015-11-01</v>
      </c>
      <c r="L223">
        <v>15</v>
      </c>
      <c r="M223" t="s">
        <v>43</v>
      </c>
      <c r="N223" t="s">
        <v>65</v>
      </c>
      <c r="O223" t="s">
        <v>188</v>
      </c>
      <c r="P223" t="s">
        <v>189</v>
      </c>
      <c r="Q223" t="s">
        <v>56</v>
      </c>
      <c r="R223" s="1" t="d">
        <v>2024-12-17</v>
      </c>
      <c r="S223" t="s">
        <v>33</v>
      </c>
      <c r="T223" t="s">
        <v>46</v>
      </c>
      <c r="U223" t="s">
        <v>68</v>
      </c>
      <c r="V223" s="1" t="d">
        <v>2025-01-15</v>
      </c>
      <c r="W223" t="s">
        <v>48</v>
      </c>
    </row>
    <row r="224" spans="1:23">
      <c r="A224" t="s">
        <v>978</v>
      </c>
      <c r="B224" s="1" t="d">
        <v>2024-11-30</v>
      </c>
      <c r="C224" t="s">
        <v>979</v>
      </c>
      <c r="D224" t="s">
        <v>38</v>
      </c>
      <c r="E224" t="s">
        <v>980</v>
      </c>
      <c r="F224" t="s">
        <v>53</v>
      </c>
      <c r="G224" t="s">
        <v>981</v>
      </c>
      <c r="H224">
        <v>2799</v>
      </c>
      <c r="I224">
        <v>1</v>
      </c>
      <c r="J224">
        <v>2799</v>
      </c>
      <c r="L224">
        <v>0</v>
      </c>
      <c r="M224" t="s">
        <v>111</v>
      </c>
      <c r="N224" t="s">
        <v>30</v>
      </c>
      <c r="O224" t="s">
        <v>194</v>
      </c>
      <c r="P224" t="s">
        <v>183</v>
      </c>
      <c r="Q224" t="s">
        <v>56</v>
      </c>
      <c r="R224" s="1" t="d">
        <v>2024-12-15</v>
      </c>
      <c r="S224" t="s">
        <v>33</v>
      </c>
      <c r="T224" t="s">
        <v>34</v>
      </c>
      <c r="W224" t="s">
        <v>35</v>
      </c>
    </row>
    <row r="225" spans="1:23">
      <c r="A225" t="s">
        <v>982</v>
      </c>
      <c r="B225" s="1" t="d">
        <v>2024-11-30</v>
      </c>
      <c r="C225" t="s">
        <v>983</v>
      </c>
      <c r="D225" t="s">
        <v>25</v>
      </c>
      <c r="E225" t="s">
        <v>984</v>
      </c>
      <c r="F225" t="s">
        <v>61</v>
      </c>
      <c r="G225" t="s">
        <v>985</v>
      </c>
      <c r="H225">
        <v>5299</v>
      </c>
      <c r="I225">
        <v>1</v>
      </c>
      <c r="J225">
        <v>5299</v>
      </c>
      <c r="L225">
        <v>0</v>
      </c>
      <c r="M225" t="s">
        <v>64</v>
      </c>
      <c r="N225" t="s">
        <v>44</v>
      </c>
      <c r="O225" t="s">
        <v>199</v>
      </c>
      <c r="P225" t="s">
        <v>57</v>
      </c>
      <c r="Q225" t="s">
        <v>56</v>
      </c>
      <c r="R225" s="1" t="d">
        <v>2024-12-18</v>
      </c>
      <c r="S225" t="s">
        <v>33</v>
      </c>
      <c r="T225" t="s">
        <v>46</v>
      </c>
      <c r="U225" t="s">
        <v>138</v>
      </c>
      <c r="V225" s="1" t="d">
        <v>2025-01-16</v>
      </c>
      <c r="W225" t="s">
        <v>48</v>
      </c>
    </row>
    <row r="226" spans="1:23">
      <c r="A226" t="s">
        <v>986</v>
      </c>
      <c r="B226" s="1" t="d">
        <v>2024-11-30</v>
      </c>
      <c r="C226" t="s">
        <v>987</v>
      </c>
      <c r="D226" t="s">
        <v>25</v>
      </c>
      <c r="E226" t="s">
        <v>988</v>
      </c>
      <c r="F226" t="s">
        <v>71</v>
      </c>
      <c r="G226" t="s">
        <v>989</v>
      </c>
      <c r="H226">
        <v>1099</v>
      </c>
      <c r="I226">
        <v>1</v>
      </c>
      <c r="J226">
        <v>1099</v>
      </c>
      <c r="L226">
        <v>0</v>
      </c>
      <c r="M226" t="s">
        <v>29</v>
      </c>
      <c r="N226" t="s">
        <v>65</v>
      </c>
      <c r="O226" t="s">
        <v>204</v>
      </c>
      <c r="P226" t="s">
        <v>97</v>
      </c>
      <c r="Q226" t="s">
        <v>31</v>
      </c>
      <c r="R226" s="1" t="d">
        <v>2024-12-16</v>
      </c>
      <c r="S226" t="s">
        <v>33</v>
      </c>
      <c r="T226" t="s">
        <v>46</v>
      </c>
      <c r="U226" t="s">
        <v>47</v>
      </c>
      <c r="V226" s="1" t="d">
        <v>2025-01-14</v>
      </c>
      <c r="W226" t="s">
        <v>48</v>
      </c>
    </row>
    <row r="227" spans="1:23">
      <c r="A227" t="s">
        <v>990</v>
      </c>
      <c r="B227" s="1" t="d">
        <v>2024-12-01</v>
      </c>
      <c r="C227" t="s">
        <v>991</v>
      </c>
      <c r="D227" t="s">
        <v>25</v>
      </c>
      <c r="E227" t="s">
        <v>992</v>
      </c>
      <c r="F227" t="s">
        <v>27</v>
      </c>
      <c r="G227" t="s">
        <v>993</v>
      </c>
      <c r="H227">
        <v>2499</v>
      </c>
      <c r="I227">
        <v>1</v>
      </c>
      <c r="J227">
        <v>2499</v>
      </c>
      <c r="K227" s="2" t="d">
        <v>2020-12-01</v>
      </c>
      <c r="L227">
        <v>20</v>
      </c>
      <c r="M227" t="s">
        <v>43</v>
      </c>
      <c r="N227" t="s">
        <v>30</v>
      </c>
      <c r="O227" t="s">
        <v>31</v>
      </c>
      <c r="P227" t="s">
        <v>32</v>
      </c>
      <c r="Q227" t="s">
        <v>31</v>
      </c>
      <c r="R227" s="1" t="d">
        <v>2024-12-06</v>
      </c>
      <c r="S227" t="s">
        <v>33</v>
      </c>
      <c r="T227" t="s">
        <v>34</v>
      </c>
      <c r="W227" t="s">
        <v>35</v>
      </c>
    </row>
    <row r="228" spans="1:23">
      <c r="A228" t="s">
        <v>994</v>
      </c>
      <c r="B228" s="1" t="d">
        <v>2024-12-01</v>
      </c>
      <c r="C228" t="s">
        <v>995</v>
      </c>
      <c r="D228" t="s">
        <v>25</v>
      </c>
      <c r="E228" t="s">
        <v>996</v>
      </c>
      <c r="F228" t="s">
        <v>61</v>
      </c>
      <c r="G228" t="s">
        <v>997</v>
      </c>
      <c r="H228">
        <v>6499</v>
      </c>
      <c r="I228">
        <v>1</v>
      </c>
      <c r="J228">
        <v>6499</v>
      </c>
      <c r="K228" s="2" t="d">
        <v>2020-12-01</v>
      </c>
      <c r="L228">
        <v>20</v>
      </c>
      <c r="M228" t="s">
        <v>55</v>
      </c>
      <c r="N228" t="s">
        <v>44</v>
      </c>
      <c r="O228" t="s">
        <v>45</v>
      </c>
      <c r="P228" t="s">
        <v>45</v>
      </c>
      <c r="Q228" t="s">
        <v>45</v>
      </c>
      <c r="R228" s="1" t="d">
        <v>2024-12-08</v>
      </c>
      <c r="S228" t="s">
        <v>33</v>
      </c>
      <c r="T228" t="s">
        <v>46</v>
      </c>
      <c r="U228" t="s">
        <v>79</v>
      </c>
      <c r="V228" s="1" t="d">
        <v>2024-12-28</v>
      </c>
      <c r="W228" t="s">
        <v>105</v>
      </c>
    </row>
    <row r="229" spans="1:23">
      <c r="A229" t="s">
        <v>998</v>
      </c>
      <c r="B229" s="1" t="d">
        <v>2024-12-01</v>
      </c>
      <c r="C229" t="s">
        <v>999</v>
      </c>
      <c r="D229" t="s">
        <v>38</v>
      </c>
      <c r="E229" t="s">
        <v>1000</v>
      </c>
      <c r="F229" t="s">
        <v>71</v>
      </c>
      <c r="G229" t="s">
        <v>1001</v>
      </c>
      <c r="H229">
        <v>1499</v>
      </c>
      <c r="I229">
        <v>1</v>
      </c>
      <c r="J229">
        <v>1499</v>
      </c>
      <c r="L229">
        <v>0</v>
      </c>
      <c r="M229" t="s">
        <v>29</v>
      </c>
      <c r="N229" t="s">
        <v>65</v>
      </c>
      <c r="O229" t="s">
        <v>118</v>
      </c>
      <c r="P229" t="s">
        <v>119</v>
      </c>
      <c r="Q229" t="s">
        <v>45</v>
      </c>
      <c r="R229" s="1" t="d">
        <v>2024-12-07</v>
      </c>
      <c r="S229" t="s">
        <v>33</v>
      </c>
      <c r="T229" t="s">
        <v>34</v>
      </c>
      <c r="W229" t="s">
        <v>35</v>
      </c>
    </row>
    <row r="230" spans="1:23">
      <c r="A230" t="s">
        <v>1002</v>
      </c>
      <c r="B230" s="1" t="d">
        <v>2024-12-01</v>
      </c>
      <c r="C230" t="s">
        <v>1003</v>
      </c>
      <c r="D230" t="s">
        <v>25</v>
      </c>
      <c r="E230" t="s">
        <v>1004</v>
      </c>
      <c r="F230" t="s">
        <v>40</v>
      </c>
      <c r="G230" t="s">
        <v>1005</v>
      </c>
      <c r="H230">
        <v>2899</v>
      </c>
      <c r="I230">
        <v>1</v>
      </c>
      <c r="J230">
        <v>2899</v>
      </c>
      <c r="K230" s="2" t="d">
        <v>2020-12-01</v>
      </c>
      <c r="L230">
        <v>20</v>
      </c>
      <c r="M230" t="s">
        <v>64</v>
      </c>
      <c r="N230" t="s">
        <v>30</v>
      </c>
      <c r="O230" t="s">
        <v>563</v>
      </c>
      <c r="P230" t="s">
        <v>119</v>
      </c>
      <c r="Q230" t="s">
        <v>45</v>
      </c>
      <c r="R230" s="1" t="d">
        <v>2024-12-09</v>
      </c>
      <c r="S230" t="s">
        <v>33</v>
      </c>
      <c r="T230" t="s">
        <v>46</v>
      </c>
      <c r="U230" t="s">
        <v>47</v>
      </c>
      <c r="V230" s="1" t="d">
        <v>2024-12-30</v>
      </c>
      <c r="W230" t="s">
        <v>48</v>
      </c>
    </row>
    <row r="231" spans="1:23">
      <c r="A231" t="s">
        <v>1006</v>
      </c>
      <c r="B231" s="1" t="d">
        <v>2024-12-02</v>
      </c>
      <c r="C231" t="s">
        <v>1007</v>
      </c>
      <c r="D231" t="s">
        <v>25</v>
      </c>
      <c r="E231" t="s">
        <v>1008</v>
      </c>
      <c r="F231" t="s">
        <v>27</v>
      </c>
      <c r="G231" t="s">
        <v>1009</v>
      </c>
      <c r="H231">
        <v>1599</v>
      </c>
      <c r="I231">
        <v>2</v>
      </c>
      <c r="J231">
        <v>3198</v>
      </c>
      <c r="L231">
        <v>0</v>
      </c>
      <c r="M231" t="s">
        <v>43</v>
      </c>
      <c r="N231" t="s">
        <v>44</v>
      </c>
      <c r="O231" t="s">
        <v>1010</v>
      </c>
      <c r="P231" t="s">
        <v>1011</v>
      </c>
      <c r="Q231" t="s">
        <v>45</v>
      </c>
      <c r="R231" s="1" t="d">
        <v>2024-12-09</v>
      </c>
      <c r="S231" t="s">
        <v>33</v>
      </c>
      <c r="T231" t="s">
        <v>34</v>
      </c>
      <c r="W231" t="s">
        <v>35</v>
      </c>
    </row>
    <row r="232" spans="1:23">
      <c r="A232" t="s">
        <v>1012</v>
      </c>
      <c r="B232" s="1" t="d">
        <v>2024-12-02</v>
      </c>
      <c r="C232" t="s">
        <v>1013</v>
      </c>
      <c r="D232" t="s">
        <v>25</v>
      </c>
      <c r="E232" t="s">
        <v>1014</v>
      </c>
      <c r="F232" t="s">
        <v>53</v>
      </c>
      <c r="G232" t="s">
        <v>1015</v>
      </c>
      <c r="H232">
        <v>1799</v>
      </c>
      <c r="I232">
        <v>1</v>
      </c>
      <c r="J232">
        <v>1799</v>
      </c>
      <c r="K232" s="2" t="d">
        <v>2020-12-01</v>
      </c>
      <c r="L232">
        <v>20</v>
      </c>
      <c r="M232" t="s">
        <v>111</v>
      </c>
      <c r="N232" t="s">
        <v>65</v>
      </c>
      <c r="O232" t="s">
        <v>1016</v>
      </c>
      <c r="P232" t="s">
        <v>1017</v>
      </c>
      <c r="Q232" t="s">
        <v>45</v>
      </c>
      <c r="R232" s="1" t="d">
        <v>2024-12-10</v>
      </c>
      <c r="S232" t="s">
        <v>33</v>
      </c>
      <c r="T232" t="s">
        <v>34</v>
      </c>
      <c r="W232" t="s">
        <v>35</v>
      </c>
    </row>
    <row r="233" spans="1:23">
      <c r="A233" t="s">
        <v>1018</v>
      </c>
      <c r="B233" s="1" t="d">
        <v>2024-12-02</v>
      </c>
      <c r="C233" t="s">
        <v>1019</v>
      </c>
      <c r="D233" t="s">
        <v>25</v>
      </c>
      <c r="E233" t="s">
        <v>444</v>
      </c>
      <c r="F233" t="s">
        <v>61</v>
      </c>
      <c r="G233" t="s">
        <v>445</v>
      </c>
      <c r="H233">
        <v>3299</v>
      </c>
      <c r="I233">
        <v>1</v>
      </c>
      <c r="J233">
        <v>3299</v>
      </c>
      <c r="L233">
        <v>0</v>
      </c>
      <c r="M233" t="s">
        <v>29</v>
      </c>
      <c r="N233" t="s">
        <v>30</v>
      </c>
      <c r="O233" t="s">
        <v>1020</v>
      </c>
      <c r="P233" t="s">
        <v>1021</v>
      </c>
      <c r="Q233" t="s">
        <v>45</v>
      </c>
      <c r="R233" s="1" t="d">
        <v>2024-12-11</v>
      </c>
      <c r="S233" t="s">
        <v>33</v>
      </c>
      <c r="T233" t="s">
        <v>46</v>
      </c>
      <c r="U233" t="s">
        <v>104</v>
      </c>
      <c r="V233" s="1" t="d">
        <v>2025-01-02</v>
      </c>
      <c r="W233" t="s">
        <v>105</v>
      </c>
    </row>
    <row r="234" spans="1:23">
      <c r="A234" t="s">
        <v>1022</v>
      </c>
      <c r="B234" s="1" t="d">
        <v>2024-12-02</v>
      </c>
      <c r="C234" t="s">
        <v>1023</v>
      </c>
      <c r="D234" t="s">
        <v>38</v>
      </c>
      <c r="E234" t="s">
        <v>1024</v>
      </c>
      <c r="F234" t="s">
        <v>71</v>
      </c>
      <c r="G234" t="s">
        <v>1025</v>
      </c>
      <c r="H234">
        <v>599</v>
      </c>
      <c r="I234">
        <v>2</v>
      </c>
      <c r="J234">
        <v>1198</v>
      </c>
      <c r="K234" s="2" t="d">
        <v>2020-12-01</v>
      </c>
      <c r="L234">
        <v>20</v>
      </c>
      <c r="M234" t="s">
        <v>55</v>
      </c>
      <c r="N234" t="s">
        <v>44</v>
      </c>
      <c r="O234" t="s">
        <v>1026</v>
      </c>
      <c r="P234" t="s">
        <v>1011</v>
      </c>
      <c r="Q234" t="s">
        <v>45</v>
      </c>
      <c r="R234" s="1" t="d">
        <v>2024-12-10</v>
      </c>
      <c r="S234" t="s">
        <v>33</v>
      </c>
      <c r="T234" t="s">
        <v>34</v>
      </c>
      <c r="W234" t="s">
        <v>35</v>
      </c>
    </row>
    <row r="235" spans="1:23">
      <c r="A235" t="s">
        <v>1027</v>
      </c>
      <c r="B235" s="1" t="d">
        <v>2024-12-03</v>
      </c>
      <c r="C235" t="s">
        <v>1028</v>
      </c>
      <c r="D235" t="s">
        <v>25</v>
      </c>
      <c r="E235" t="s">
        <v>1029</v>
      </c>
      <c r="F235" t="s">
        <v>27</v>
      </c>
      <c r="G235" t="s">
        <v>1030</v>
      </c>
      <c r="H235">
        <v>2199</v>
      </c>
      <c r="I235">
        <v>1</v>
      </c>
      <c r="J235">
        <v>2199</v>
      </c>
      <c r="L235">
        <v>0</v>
      </c>
      <c r="M235" t="s">
        <v>64</v>
      </c>
      <c r="N235" t="s">
        <v>65</v>
      </c>
      <c r="O235" t="s">
        <v>1031</v>
      </c>
      <c r="P235" t="s">
        <v>91</v>
      </c>
      <c r="Q235" t="s">
        <v>45</v>
      </c>
      <c r="R235" s="1" t="d">
        <v>2024-12-12</v>
      </c>
      <c r="S235" t="s">
        <v>33</v>
      </c>
      <c r="T235" t="s">
        <v>46</v>
      </c>
      <c r="U235" t="s">
        <v>47</v>
      </c>
      <c r="V235" s="1" t="d">
        <v>2025-01-03</v>
      </c>
      <c r="W235" t="s">
        <v>48</v>
      </c>
    </row>
    <row r="236" spans="1:23">
      <c r="A236" t="s">
        <v>1032</v>
      </c>
      <c r="B236" s="1" t="d">
        <v>2024-12-03</v>
      </c>
      <c r="C236" t="s">
        <v>1033</v>
      </c>
      <c r="D236" t="s">
        <v>25</v>
      </c>
      <c r="E236" t="s">
        <v>1034</v>
      </c>
      <c r="F236" t="s">
        <v>40</v>
      </c>
      <c r="G236" t="s">
        <v>278</v>
      </c>
      <c r="H236">
        <v>2499</v>
      </c>
      <c r="I236">
        <v>1</v>
      </c>
      <c r="J236">
        <v>2499</v>
      </c>
      <c r="K236" s="2" t="d">
        <v>2020-12-01</v>
      </c>
      <c r="L236">
        <v>20</v>
      </c>
      <c r="M236" t="s">
        <v>43</v>
      </c>
      <c r="N236" t="s">
        <v>30</v>
      </c>
      <c r="O236" t="s">
        <v>1035</v>
      </c>
      <c r="P236" t="s">
        <v>1036</v>
      </c>
      <c r="Q236" t="s">
        <v>45</v>
      </c>
      <c r="R236" s="1" t="d">
        <v>2024-12-12</v>
      </c>
      <c r="S236" t="s">
        <v>33</v>
      </c>
      <c r="T236" t="s">
        <v>34</v>
      </c>
      <c r="W236" t="s">
        <v>35</v>
      </c>
    </row>
    <row r="237" spans="1:23">
      <c r="A237" t="s">
        <v>1037</v>
      </c>
      <c r="B237" s="1" t="d">
        <v>2024-12-03</v>
      </c>
      <c r="C237" t="s">
        <v>1038</v>
      </c>
      <c r="D237" t="s">
        <v>25</v>
      </c>
      <c r="E237" t="s">
        <v>1039</v>
      </c>
      <c r="F237" t="s">
        <v>53</v>
      </c>
      <c r="G237" t="s">
        <v>1040</v>
      </c>
      <c r="H237">
        <v>2999</v>
      </c>
      <c r="I237">
        <v>1</v>
      </c>
      <c r="J237">
        <v>2999</v>
      </c>
      <c r="L237">
        <v>0</v>
      </c>
      <c r="M237" t="s">
        <v>29</v>
      </c>
      <c r="N237" t="s">
        <v>44</v>
      </c>
      <c r="O237" t="s">
        <v>1041</v>
      </c>
      <c r="P237" t="s">
        <v>1042</v>
      </c>
      <c r="Q237" t="s">
        <v>45</v>
      </c>
      <c r="R237" s="1" t="d">
        <v>2024-12-14</v>
      </c>
      <c r="S237" t="s">
        <v>33</v>
      </c>
      <c r="T237" t="s">
        <v>46</v>
      </c>
      <c r="U237" t="s">
        <v>68</v>
      </c>
      <c r="V237" s="1" t="d">
        <v>2025-01-05</v>
      </c>
      <c r="W237" t="s">
        <v>48</v>
      </c>
    </row>
    <row r="238" spans="1:23">
      <c r="A238" t="s">
        <v>1043</v>
      </c>
      <c r="B238" s="1" t="d">
        <v>2024-12-03</v>
      </c>
      <c r="C238" t="s">
        <v>1044</v>
      </c>
      <c r="D238" t="s">
        <v>25</v>
      </c>
      <c r="E238" t="s">
        <v>1045</v>
      </c>
      <c r="F238" t="s">
        <v>61</v>
      </c>
      <c r="G238" t="s">
        <v>1046</v>
      </c>
      <c r="H238">
        <v>7999</v>
      </c>
      <c r="I238">
        <v>1</v>
      </c>
      <c r="J238">
        <v>7999</v>
      </c>
      <c r="K238" s="2" t="d">
        <v>2020-12-01</v>
      </c>
      <c r="L238">
        <v>20</v>
      </c>
      <c r="M238" t="s">
        <v>111</v>
      </c>
      <c r="N238" t="s">
        <v>65</v>
      </c>
      <c r="O238" t="s">
        <v>1047</v>
      </c>
      <c r="P238" t="s">
        <v>1048</v>
      </c>
      <c r="Q238" t="s">
        <v>45</v>
      </c>
      <c r="R238" s="1" t="d">
        <v>2024-12-14</v>
      </c>
      <c r="S238" t="s">
        <v>33</v>
      </c>
      <c r="T238" t="s">
        <v>34</v>
      </c>
      <c r="W238" t="s">
        <v>35</v>
      </c>
    </row>
    <row r="239" spans="1:23">
      <c r="A239" t="s">
        <v>1049</v>
      </c>
      <c r="B239" s="1" t="d">
        <v>2024-12-04</v>
      </c>
      <c r="C239" t="s">
        <v>1050</v>
      </c>
      <c r="D239" t="s">
        <v>38</v>
      </c>
      <c r="E239" t="s">
        <v>1051</v>
      </c>
      <c r="F239" t="s">
        <v>27</v>
      </c>
      <c r="G239" t="s">
        <v>1052</v>
      </c>
      <c r="H239">
        <v>1999</v>
      </c>
      <c r="I239">
        <v>1</v>
      </c>
      <c r="J239">
        <v>1999</v>
      </c>
      <c r="L239">
        <v>0</v>
      </c>
      <c r="M239" t="s">
        <v>43</v>
      </c>
      <c r="N239" t="s">
        <v>30</v>
      </c>
      <c r="O239" t="s">
        <v>1053</v>
      </c>
      <c r="P239" t="s">
        <v>67</v>
      </c>
      <c r="Q239" t="s">
        <v>56</v>
      </c>
      <c r="R239" s="1" t="d">
        <v>2024-12-13</v>
      </c>
      <c r="S239" t="s">
        <v>33</v>
      </c>
      <c r="T239" t="s">
        <v>34</v>
      </c>
      <c r="W239" t="s">
        <v>35</v>
      </c>
    </row>
    <row r="240" spans="1:23">
      <c r="A240" t="s">
        <v>1054</v>
      </c>
      <c r="B240" s="1" t="d">
        <v>2024-12-04</v>
      </c>
      <c r="C240" t="s">
        <v>1055</v>
      </c>
      <c r="D240" t="s">
        <v>25</v>
      </c>
      <c r="E240" t="s">
        <v>1056</v>
      </c>
      <c r="F240" t="s">
        <v>71</v>
      </c>
      <c r="G240" t="s">
        <v>1057</v>
      </c>
      <c r="H240">
        <v>499</v>
      </c>
      <c r="I240">
        <v>2</v>
      </c>
      <c r="J240">
        <v>998</v>
      </c>
      <c r="K240" s="2" t="d">
        <v>2020-12-01</v>
      </c>
      <c r="L240">
        <v>20</v>
      </c>
      <c r="M240" t="s">
        <v>55</v>
      </c>
      <c r="N240" t="s">
        <v>44</v>
      </c>
      <c r="O240" t="s">
        <v>1058</v>
      </c>
      <c r="P240" t="s">
        <v>183</v>
      </c>
      <c r="Q240" t="s">
        <v>56</v>
      </c>
      <c r="R240" s="1" t="d">
        <v>2024-12-13</v>
      </c>
      <c r="S240" t="s">
        <v>33</v>
      </c>
      <c r="T240" t="s">
        <v>34</v>
      </c>
      <c r="W240" t="s">
        <v>35</v>
      </c>
    </row>
    <row r="241" spans="1:23">
      <c r="A241" t="s">
        <v>1059</v>
      </c>
      <c r="B241" s="1" t="d">
        <v>2024-12-04</v>
      </c>
      <c r="C241" t="s">
        <v>1060</v>
      </c>
      <c r="D241" t="s">
        <v>25</v>
      </c>
      <c r="E241" t="s">
        <v>1061</v>
      </c>
      <c r="F241" t="s">
        <v>40</v>
      </c>
      <c r="G241" t="s">
        <v>1062</v>
      </c>
      <c r="H241">
        <v>4999</v>
      </c>
      <c r="I241">
        <v>1</v>
      </c>
      <c r="J241">
        <v>4999</v>
      </c>
      <c r="L241">
        <v>0</v>
      </c>
      <c r="M241" t="s">
        <v>64</v>
      </c>
      <c r="N241" t="s">
        <v>65</v>
      </c>
      <c r="O241" t="s">
        <v>1063</v>
      </c>
      <c r="P241" t="s">
        <v>1063</v>
      </c>
      <c r="Q241" t="s">
        <v>31</v>
      </c>
      <c r="R241" s="1" t="d">
        <v>2024-12-14</v>
      </c>
      <c r="S241" t="s">
        <v>33</v>
      </c>
      <c r="T241" t="s">
        <v>46</v>
      </c>
      <c r="U241" t="s">
        <v>47</v>
      </c>
      <c r="V241" s="1" t="d">
        <v>2025-01-06</v>
      </c>
      <c r="W241" t="s">
        <v>48</v>
      </c>
    </row>
    <row r="242" spans="1:23">
      <c r="A242" t="s">
        <v>1064</v>
      </c>
      <c r="B242" s="1" t="d">
        <v>2024-12-04</v>
      </c>
      <c r="C242" t="s">
        <v>1065</v>
      </c>
      <c r="D242" t="s">
        <v>25</v>
      </c>
      <c r="E242" t="s">
        <v>1066</v>
      </c>
      <c r="F242" t="s">
        <v>27</v>
      </c>
      <c r="G242" t="s">
        <v>1067</v>
      </c>
      <c r="H242">
        <v>2299</v>
      </c>
      <c r="I242">
        <v>1</v>
      </c>
      <c r="J242">
        <v>2299</v>
      </c>
      <c r="K242" s="2" t="d">
        <v>2020-12-01</v>
      </c>
      <c r="L242">
        <v>20</v>
      </c>
      <c r="M242" t="s">
        <v>29</v>
      </c>
      <c r="N242" t="s">
        <v>30</v>
      </c>
      <c r="O242" t="s">
        <v>31</v>
      </c>
      <c r="P242" t="s">
        <v>32</v>
      </c>
      <c r="Q242" t="s">
        <v>31</v>
      </c>
      <c r="R242" s="1" t="d">
        <v>2024-12-13</v>
      </c>
      <c r="S242" t="s">
        <v>33</v>
      </c>
      <c r="T242" t="s">
        <v>34</v>
      </c>
      <c r="W242" t="s">
        <v>35</v>
      </c>
    </row>
    <row r="243" spans="1:23">
      <c r="A243" t="s">
        <v>1068</v>
      </c>
      <c r="B243" s="1" t="d">
        <v>2024-12-05</v>
      </c>
      <c r="C243" t="s">
        <v>1069</v>
      </c>
      <c r="D243" t="s">
        <v>25</v>
      </c>
      <c r="E243" t="s">
        <v>1070</v>
      </c>
      <c r="F243" t="s">
        <v>53</v>
      </c>
      <c r="G243" t="s">
        <v>781</v>
      </c>
      <c r="H243">
        <v>2599</v>
      </c>
      <c r="I243">
        <v>1</v>
      </c>
      <c r="J243">
        <v>2599</v>
      </c>
      <c r="L243">
        <v>0</v>
      </c>
      <c r="M243" t="s">
        <v>43</v>
      </c>
      <c r="N243" t="s">
        <v>44</v>
      </c>
      <c r="O243" t="s">
        <v>56</v>
      </c>
      <c r="P243" t="s">
        <v>57</v>
      </c>
      <c r="Q243" t="s">
        <v>56</v>
      </c>
      <c r="R243" s="1" t="d">
        <v>2024-12-15</v>
      </c>
      <c r="S243" t="s">
        <v>33</v>
      </c>
      <c r="T243" t="s">
        <v>46</v>
      </c>
      <c r="U243" t="s">
        <v>79</v>
      </c>
      <c r="V243" s="1" t="d">
        <v>2025-01-08</v>
      </c>
      <c r="W243" t="s">
        <v>48</v>
      </c>
    </row>
    <row r="244" spans="1:23">
      <c r="A244" t="s">
        <v>1071</v>
      </c>
      <c r="B244" s="1" t="d">
        <v>2024-12-05</v>
      </c>
      <c r="C244" t="s">
        <v>1072</v>
      </c>
      <c r="D244" t="s">
        <v>38</v>
      </c>
      <c r="E244" t="s">
        <v>1073</v>
      </c>
      <c r="F244" t="s">
        <v>61</v>
      </c>
      <c r="G244" t="s">
        <v>1074</v>
      </c>
      <c r="H244">
        <v>8999</v>
      </c>
      <c r="I244">
        <v>1</v>
      </c>
      <c r="J244">
        <v>8999</v>
      </c>
      <c r="K244" s="2" t="d">
        <v>2020-12-01</v>
      </c>
      <c r="L244">
        <v>20</v>
      </c>
      <c r="M244" t="s">
        <v>111</v>
      </c>
      <c r="N244" t="s">
        <v>65</v>
      </c>
      <c r="O244" t="s">
        <v>45</v>
      </c>
      <c r="P244" t="s">
        <v>45</v>
      </c>
      <c r="Q244" t="s">
        <v>45</v>
      </c>
      <c r="R244" s="1" t="d">
        <v>2024-12-17</v>
      </c>
      <c r="S244" t="s">
        <v>33</v>
      </c>
      <c r="T244" t="s">
        <v>46</v>
      </c>
      <c r="U244" t="s">
        <v>47</v>
      </c>
      <c r="V244" s="1" t="d">
        <v>2025-01-10</v>
      </c>
      <c r="W244" t="s">
        <v>105</v>
      </c>
    </row>
    <row r="245" spans="1:23">
      <c r="A245" t="s">
        <v>1075</v>
      </c>
      <c r="B245" s="1" t="d">
        <v>2024-12-05</v>
      </c>
      <c r="C245" t="s">
        <v>1076</v>
      </c>
      <c r="D245" t="s">
        <v>25</v>
      </c>
      <c r="E245" t="s">
        <v>369</v>
      </c>
      <c r="F245" t="s">
        <v>71</v>
      </c>
      <c r="G245" t="s">
        <v>1077</v>
      </c>
      <c r="H245">
        <v>1799</v>
      </c>
      <c r="I245">
        <v>1</v>
      </c>
      <c r="J245">
        <v>1799</v>
      </c>
      <c r="L245">
        <v>0</v>
      </c>
      <c r="M245" t="s">
        <v>29</v>
      </c>
      <c r="N245" t="s">
        <v>30</v>
      </c>
      <c r="O245" t="s">
        <v>77</v>
      </c>
      <c r="P245" t="s">
        <v>78</v>
      </c>
      <c r="Q245" t="s">
        <v>56</v>
      </c>
      <c r="R245" s="1" t="d">
        <v>2024-12-16</v>
      </c>
      <c r="S245" t="s">
        <v>33</v>
      </c>
      <c r="T245" t="s">
        <v>34</v>
      </c>
      <c r="W245" t="s">
        <v>35</v>
      </c>
    </row>
    <row r="246" spans="1:23">
      <c r="A246" t="s">
        <v>1078</v>
      </c>
      <c r="B246" s="1" t="d">
        <v>2024-12-05</v>
      </c>
      <c r="C246" t="s">
        <v>1079</v>
      </c>
      <c r="D246" t="s">
        <v>25</v>
      </c>
      <c r="E246" t="s">
        <v>1080</v>
      </c>
      <c r="F246" t="s">
        <v>27</v>
      </c>
      <c r="G246" t="s">
        <v>1081</v>
      </c>
      <c r="H246">
        <v>2199</v>
      </c>
      <c r="I246">
        <v>1</v>
      </c>
      <c r="J246">
        <v>2199</v>
      </c>
      <c r="L246">
        <v>0</v>
      </c>
      <c r="M246" t="s">
        <v>64</v>
      </c>
      <c r="N246" t="s">
        <v>44</v>
      </c>
      <c r="O246" t="s">
        <v>66</v>
      </c>
      <c r="P246" t="s">
        <v>67</v>
      </c>
      <c r="Q246" t="s">
        <v>56</v>
      </c>
      <c r="R246" s="1" t="d">
        <v>2024-12-16</v>
      </c>
      <c r="S246" t="s">
        <v>33</v>
      </c>
      <c r="T246" t="s">
        <v>34</v>
      </c>
      <c r="W246" t="s">
        <v>35</v>
      </c>
    </row>
    <row r="247" spans="1:23">
      <c r="A247" t="s">
        <v>1082</v>
      </c>
      <c r="B247" s="1" t="d">
        <v>2024-12-06</v>
      </c>
      <c r="C247" t="s">
        <v>1083</v>
      </c>
      <c r="D247" t="s">
        <v>25</v>
      </c>
      <c r="E247" t="s">
        <v>1084</v>
      </c>
      <c r="F247" t="s">
        <v>40</v>
      </c>
      <c r="G247" t="s">
        <v>1085</v>
      </c>
      <c r="H247">
        <v>3799</v>
      </c>
      <c r="I247">
        <v>1</v>
      </c>
      <c r="J247">
        <v>3799</v>
      </c>
      <c r="K247" s="2" t="d">
        <v>2020-12-01</v>
      </c>
      <c r="L247">
        <v>20</v>
      </c>
      <c r="M247" t="s">
        <v>55</v>
      </c>
      <c r="N247" t="s">
        <v>65</v>
      </c>
      <c r="O247" t="s">
        <v>84</v>
      </c>
      <c r="P247" t="s">
        <v>32</v>
      </c>
      <c r="Q247" t="s">
        <v>31</v>
      </c>
      <c r="R247" s="1" t="d">
        <v>2024-12-18</v>
      </c>
      <c r="S247" t="s">
        <v>33</v>
      </c>
      <c r="T247" t="s">
        <v>46</v>
      </c>
      <c r="U247" t="s">
        <v>68</v>
      </c>
      <c r="V247" s="1" t="d">
        <v>2025-01-12</v>
      </c>
      <c r="W247" t="s">
        <v>48</v>
      </c>
    </row>
    <row r="248" spans="1:23">
      <c r="A248" t="s">
        <v>1086</v>
      </c>
      <c r="B248" s="1" t="d">
        <v>2024-12-06</v>
      </c>
      <c r="C248" t="s">
        <v>1087</v>
      </c>
      <c r="D248" t="s">
        <v>25</v>
      </c>
      <c r="E248" t="s">
        <v>1088</v>
      </c>
      <c r="F248" t="s">
        <v>53</v>
      </c>
      <c r="G248" t="s">
        <v>1089</v>
      </c>
      <c r="H248">
        <v>2899</v>
      </c>
      <c r="I248">
        <v>1</v>
      </c>
      <c r="J248">
        <v>2899</v>
      </c>
      <c r="L248">
        <v>0</v>
      </c>
      <c r="M248" t="s">
        <v>43</v>
      </c>
      <c r="N248" t="s">
        <v>30</v>
      </c>
      <c r="O248" t="s">
        <v>90</v>
      </c>
      <c r="P248" t="s">
        <v>91</v>
      </c>
      <c r="Q248" t="s">
        <v>45</v>
      </c>
      <c r="R248" s="1" t="d">
        <v>2024-12-18</v>
      </c>
      <c r="S248" t="s">
        <v>33</v>
      </c>
      <c r="T248" t="s">
        <v>34</v>
      </c>
      <c r="W248" t="s">
        <v>35</v>
      </c>
    </row>
    <row r="249" spans="1:23">
      <c r="A249" t="s">
        <v>1090</v>
      </c>
      <c r="B249" s="1" t="d">
        <v>2024-12-06</v>
      </c>
      <c r="C249" t="s">
        <v>1091</v>
      </c>
      <c r="D249" t="s">
        <v>38</v>
      </c>
      <c r="E249" t="s">
        <v>503</v>
      </c>
      <c r="F249" t="s">
        <v>61</v>
      </c>
      <c r="G249" t="s">
        <v>1092</v>
      </c>
      <c r="H249">
        <v>4599</v>
      </c>
      <c r="I249">
        <v>1</v>
      </c>
      <c r="J249">
        <v>4599</v>
      </c>
      <c r="K249" s="2" t="d">
        <v>2020-12-01</v>
      </c>
      <c r="L249">
        <v>20</v>
      </c>
      <c r="M249" t="s">
        <v>29</v>
      </c>
      <c r="N249" t="s">
        <v>44</v>
      </c>
      <c r="O249" t="s">
        <v>102</v>
      </c>
      <c r="P249" t="s">
        <v>103</v>
      </c>
      <c r="Q249" t="s">
        <v>45</v>
      </c>
      <c r="R249" s="1" t="d">
        <v>2024-12-19</v>
      </c>
      <c r="S249" t="s">
        <v>33</v>
      </c>
      <c r="T249" t="s">
        <v>46</v>
      </c>
      <c r="U249" t="s">
        <v>47</v>
      </c>
      <c r="V249" s="1" t="d">
        <v>2025-01-14</v>
      </c>
      <c r="W249" t="s">
        <v>48</v>
      </c>
    </row>
    <row r="250" spans="1:23">
      <c r="A250" t="s">
        <v>1093</v>
      </c>
      <c r="B250" s="1" t="d">
        <v>2024-12-06</v>
      </c>
      <c r="C250" t="s">
        <v>1094</v>
      </c>
      <c r="D250" t="s">
        <v>25</v>
      </c>
      <c r="E250" t="s">
        <v>1095</v>
      </c>
      <c r="F250" t="s">
        <v>71</v>
      </c>
      <c r="G250" t="s">
        <v>1096</v>
      </c>
      <c r="H250">
        <v>2499</v>
      </c>
      <c r="I250">
        <v>1</v>
      </c>
      <c r="J250">
        <v>2499</v>
      </c>
      <c r="L250">
        <v>0</v>
      </c>
      <c r="M250" t="s">
        <v>111</v>
      </c>
      <c r="N250" t="s">
        <v>65</v>
      </c>
      <c r="O250" t="s">
        <v>112</v>
      </c>
      <c r="P250" t="s">
        <v>113</v>
      </c>
      <c r="Q250" t="s">
        <v>45</v>
      </c>
      <c r="R250" s="1" t="d">
        <v>2024-12-19</v>
      </c>
      <c r="S250" t="s">
        <v>33</v>
      </c>
      <c r="T250" t="s">
        <v>34</v>
      </c>
      <c r="W250" t="s">
        <v>35</v>
      </c>
    </row>
    <row r="251" spans="1:23">
      <c r="A251" t="s">
        <v>1097</v>
      </c>
      <c r="B251" s="1" t="d">
        <v>2024-12-07</v>
      </c>
      <c r="C251" t="s">
        <v>1098</v>
      </c>
      <c r="D251" t="s">
        <v>25</v>
      </c>
      <c r="E251" t="s">
        <v>1099</v>
      </c>
      <c r="F251" t="s">
        <v>27</v>
      </c>
      <c r="G251" t="s">
        <v>1100</v>
      </c>
      <c r="H251">
        <v>1899</v>
      </c>
      <c r="I251">
        <v>1</v>
      </c>
      <c r="J251">
        <v>1899</v>
      </c>
      <c r="L251">
        <v>0</v>
      </c>
      <c r="M251" t="s">
        <v>64</v>
      </c>
      <c r="N251" t="s">
        <v>30</v>
      </c>
      <c r="O251" t="s">
        <v>1063</v>
      </c>
      <c r="P251" t="s">
        <v>1063</v>
      </c>
      <c r="Q251" t="s">
        <v>31</v>
      </c>
      <c r="S251" t="s">
        <v>120</v>
      </c>
      <c r="T251" t="s">
        <v>34</v>
      </c>
      <c r="W251" t="s">
        <v>35</v>
      </c>
    </row>
    <row r="252" spans="1:23">
      <c r="A252" t="s">
        <v>1101</v>
      </c>
      <c r="B252" s="1" t="d">
        <v>2024-12-07</v>
      </c>
      <c r="C252" t="s">
        <v>1102</v>
      </c>
      <c r="D252" t="s">
        <v>25</v>
      </c>
      <c r="E252" t="s">
        <v>1103</v>
      </c>
      <c r="F252" t="s">
        <v>40</v>
      </c>
      <c r="G252" t="s">
        <v>937</v>
      </c>
      <c r="H252">
        <v>3299</v>
      </c>
      <c r="I252">
        <v>1</v>
      </c>
      <c r="J252">
        <v>3299</v>
      </c>
      <c r="K252" s="2" t="d">
        <v>2020-12-01</v>
      </c>
      <c r="L252">
        <v>20</v>
      </c>
      <c r="M252" t="s">
        <v>43</v>
      </c>
      <c r="N252" t="s">
        <v>44</v>
      </c>
      <c r="O252" t="s">
        <v>31</v>
      </c>
      <c r="P252" t="s">
        <v>32</v>
      </c>
      <c r="Q252" t="s">
        <v>31</v>
      </c>
      <c r="R252" s="1" t="d">
        <v>2024-12-20</v>
      </c>
      <c r="S252" t="s">
        <v>33</v>
      </c>
      <c r="T252" t="s">
        <v>34</v>
      </c>
      <c r="W252" t="s">
        <v>35</v>
      </c>
    </row>
    <row r="253" spans="1:23">
      <c r="A253" t="s">
        <v>1104</v>
      </c>
      <c r="B253" s="1" t="d">
        <v>2024-12-07</v>
      </c>
      <c r="C253" t="s">
        <v>1105</v>
      </c>
      <c r="D253" t="s">
        <v>25</v>
      </c>
      <c r="E253" t="s">
        <v>1106</v>
      </c>
      <c r="F253" t="s">
        <v>53</v>
      </c>
      <c r="G253" t="s">
        <v>941</v>
      </c>
      <c r="H253">
        <v>2199</v>
      </c>
      <c r="I253">
        <v>1</v>
      </c>
      <c r="J253">
        <v>2199</v>
      </c>
      <c r="L253">
        <v>0</v>
      </c>
      <c r="M253" t="s">
        <v>55</v>
      </c>
      <c r="N253" t="s">
        <v>65</v>
      </c>
      <c r="O253" t="s">
        <v>45</v>
      </c>
      <c r="P253" t="s">
        <v>45</v>
      </c>
      <c r="Q253" t="s">
        <v>45</v>
      </c>
      <c r="R253" s="1" t="d">
        <v>2024-12-21</v>
      </c>
      <c r="S253" t="s">
        <v>33</v>
      </c>
      <c r="T253" t="s">
        <v>46</v>
      </c>
      <c r="U253" t="s">
        <v>138</v>
      </c>
      <c r="V253" s="1" t="d">
        <v>2025-01-15</v>
      </c>
      <c r="W253" t="s">
        <v>105</v>
      </c>
    </row>
    <row r="254" spans="1:23">
      <c r="A254" t="s">
        <v>1107</v>
      </c>
      <c r="B254" s="1" t="d">
        <v>2024-12-07</v>
      </c>
      <c r="C254" t="s">
        <v>1108</v>
      </c>
      <c r="D254" t="s">
        <v>38</v>
      </c>
      <c r="E254" t="s">
        <v>1109</v>
      </c>
      <c r="F254" t="s">
        <v>61</v>
      </c>
      <c r="G254" t="s">
        <v>1110</v>
      </c>
      <c r="H254">
        <v>5499</v>
      </c>
      <c r="I254">
        <v>1</v>
      </c>
      <c r="J254">
        <v>5499</v>
      </c>
      <c r="K254" s="2" t="d">
        <v>2020-12-01</v>
      </c>
      <c r="L254">
        <v>20</v>
      </c>
      <c r="M254" t="s">
        <v>29</v>
      </c>
      <c r="N254" t="s">
        <v>30</v>
      </c>
      <c r="O254" t="s">
        <v>56</v>
      </c>
      <c r="P254" t="s">
        <v>57</v>
      </c>
      <c r="Q254" t="s">
        <v>56</v>
      </c>
      <c r="R254" s="1" t="d">
        <v>2024-12-21</v>
      </c>
      <c r="S254" t="s">
        <v>33</v>
      </c>
      <c r="T254" t="s">
        <v>34</v>
      </c>
      <c r="W254" t="s">
        <v>35</v>
      </c>
    </row>
    <row r="255" spans="1:23">
      <c r="A255" t="s">
        <v>1111</v>
      </c>
      <c r="B255" s="1" t="d">
        <v>2024-12-08</v>
      </c>
      <c r="C255" t="s">
        <v>1112</v>
      </c>
      <c r="D255" t="s">
        <v>25</v>
      </c>
      <c r="E255" t="s">
        <v>1113</v>
      </c>
      <c r="F255" t="s">
        <v>71</v>
      </c>
      <c r="G255" t="s">
        <v>1114</v>
      </c>
      <c r="H255">
        <v>999</v>
      </c>
      <c r="I255">
        <v>1</v>
      </c>
      <c r="J255">
        <v>999</v>
      </c>
      <c r="L255">
        <v>0</v>
      </c>
      <c r="M255" t="s">
        <v>111</v>
      </c>
      <c r="N255" t="s">
        <v>44</v>
      </c>
      <c r="O255" t="s">
        <v>96</v>
      </c>
      <c r="P255" t="s">
        <v>97</v>
      </c>
      <c r="Q255" t="s">
        <v>31</v>
      </c>
      <c r="R255" s="1" t="d">
        <v>2024-12-22</v>
      </c>
      <c r="S255" t="s">
        <v>33</v>
      </c>
      <c r="T255" t="s">
        <v>34</v>
      </c>
      <c r="W255" t="s">
        <v>35</v>
      </c>
    </row>
    <row r="256" spans="1:23">
      <c r="A256" t="s">
        <v>1115</v>
      </c>
      <c r="B256" s="1" t="d">
        <v>2024-12-08</v>
      </c>
      <c r="C256" t="s">
        <v>1116</v>
      </c>
      <c r="D256" t="s">
        <v>25</v>
      </c>
      <c r="E256" t="s">
        <v>261</v>
      </c>
      <c r="F256" t="s">
        <v>27</v>
      </c>
      <c r="G256" t="s">
        <v>262</v>
      </c>
      <c r="H256">
        <v>1699</v>
      </c>
      <c r="I256">
        <v>2</v>
      </c>
      <c r="J256">
        <v>3398</v>
      </c>
      <c r="L256">
        <v>0</v>
      </c>
      <c r="M256" t="s">
        <v>64</v>
      </c>
      <c r="N256" t="s">
        <v>65</v>
      </c>
      <c r="O256" t="s">
        <v>156</v>
      </c>
      <c r="P256" t="s">
        <v>97</v>
      </c>
      <c r="Q256" t="s">
        <v>31</v>
      </c>
      <c r="R256" s="1" t="d">
        <v>2024-12-22</v>
      </c>
      <c r="S256" t="s">
        <v>33</v>
      </c>
      <c r="T256" t="s">
        <v>46</v>
      </c>
      <c r="U256" t="s">
        <v>47</v>
      </c>
      <c r="V256" s="1" t="d">
        <v>2025-01-16</v>
      </c>
      <c r="W256" t="s">
        <v>48</v>
      </c>
    </row>
    <row r="257" spans="1:23">
      <c r="A257" t="s">
        <v>1117</v>
      </c>
      <c r="B257" s="1" t="d">
        <v>2024-12-08</v>
      </c>
      <c r="C257" t="s">
        <v>1118</v>
      </c>
      <c r="D257" t="s">
        <v>25</v>
      </c>
      <c r="E257" t="s">
        <v>1119</v>
      </c>
      <c r="F257" t="s">
        <v>40</v>
      </c>
      <c r="G257" t="s">
        <v>1120</v>
      </c>
      <c r="H257">
        <v>2799</v>
      </c>
      <c r="I257">
        <v>1</v>
      </c>
      <c r="J257">
        <v>2799</v>
      </c>
      <c r="K257" s="2" t="d">
        <v>2020-12-01</v>
      </c>
      <c r="L257">
        <v>20</v>
      </c>
      <c r="M257" t="s">
        <v>43</v>
      </c>
      <c r="N257" t="s">
        <v>30</v>
      </c>
      <c r="O257" t="s">
        <v>204</v>
      </c>
      <c r="P257" t="s">
        <v>97</v>
      </c>
      <c r="Q257" t="s">
        <v>31</v>
      </c>
      <c r="R257" s="1" t="d">
        <v>2024-12-23</v>
      </c>
      <c r="S257" t="s">
        <v>33</v>
      </c>
      <c r="T257" t="s">
        <v>46</v>
      </c>
      <c r="U257" t="s">
        <v>104</v>
      </c>
      <c r="V257" s="1" t="d">
        <v>2025-01-18</v>
      </c>
      <c r="W257" t="s">
        <v>48</v>
      </c>
    </row>
    <row r="258" spans="1:23">
      <c r="A258" t="s">
        <v>1121</v>
      </c>
      <c r="B258" s="1" t="d">
        <v>2024-12-08</v>
      </c>
      <c r="C258" t="s">
        <v>1122</v>
      </c>
      <c r="D258" t="s">
        <v>25</v>
      </c>
      <c r="E258" t="s">
        <v>1123</v>
      </c>
      <c r="F258" t="s">
        <v>53</v>
      </c>
      <c r="G258" t="s">
        <v>314</v>
      </c>
      <c r="H258">
        <v>2299</v>
      </c>
      <c r="I258">
        <v>1</v>
      </c>
      <c r="J258">
        <v>2299</v>
      </c>
      <c r="L258">
        <v>0</v>
      </c>
      <c r="M258" t="s">
        <v>29</v>
      </c>
      <c r="N258" t="s">
        <v>44</v>
      </c>
      <c r="O258" t="s">
        <v>209</v>
      </c>
      <c r="P258" t="s">
        <v>97</v>
      </c>
      <c r="Q258" t="s">
        <v>31</v>
      </c>
      <c r="R258" s="1" t="d">
        <v>2024-12-23</v>
      </c>
      <c r="S258" t="s">
        <v>33</v>
      </c>
      <c r="T258" t="s">
        <v>34</v>
      </c>
      <c r="W258" t="s">
        <v>35</v>
      </c>
    </row>
    <row r="259" spans="1:23">
      <c r="A259" t="s">
        <v>1124</v>
      </c>
      <c r="B259" s="1" t="d">
        <v>2024-12-09</v>
      </c>
      <c r="C259" t="s">
        <v>1125</v>
      </c>
      <c r="D259" t="s">
        <v>38</v>
      </c>
      <c r="E259" t="s">
        <v>1126</v>
      </c>
      <c r="F259" t="s">
        <v>61</v>
      </c>
      <c r="G259" t="s">
        <v>1127</v>
      </c>
      <c r="H259">
        <v>5999</v>
      </c>
      <c r="I259">
        <v>1</v>
      </c>
      <c r="J259">
        <v>5999</v>
      </c>
      <c r="L259">
        <v>0</v>
      </c>
      <c r="M259" t="s">
        <v>55</v>
      </c>
      <c r="N259" t="s">
        <v>65</v>
      </c>
      <c r="O259" t="s">
        <v>214</v>
      </c>
      <c r="P259" t="s">
        <v>113</v>
      </c>
      <c r="Q259" t="s">
        <v>45</v>
      </c>
      <c r="R259" s="1" t="d">
        <v>2024-12-24</v>
      </c>
      <c r="S259" t="s">
        <v>33</v>
      </c>
      <c r="T259" t="s">
        <v>46</v>
      </c>
      <c r="U259" t="s">
        <v>79</v>
      </c>
      <c r="V259" s="1" t="d">
        <v>2025-01-20</v>
      </c>
      <c r="W259" t="s">
        <v>48</v>
      </c>
    </row>
    <row r="260" spans="1:23">
      <c r="A260" t="s">
        <v>1128</v>
      </c>
      <c r="B260" s="1" t="d">
        <v>2024-12-09</v>
      </c>
      <c r="C260" t="s">
        <v>1129</v>
      </c>
      <c r="D260" t="s">
        <v>25</v>
      </c>
      <c r="E260" t="s">
        <v>1130</v>
      </c>
      <c r="F260" t="s">
        <v>71</v>
      </c>
      <c r="G260" t="s">
        <v>1131</v>
      </c>
      <c r="H260">
        <v>899</v>
      </c>
      <c r="I260">
        <v>2</v>
      </c>
      <c r="J260">
        <v>1798</v>
      </c>
      <c r="K260" s="2" t="d">
        <v>2020-12-01</v>
      </c>
      <c r="L260">
        <v>20</v>
      </c>
      <c r="M260" t="s">
        <v>111</v>
      </c>
      <c r="N260" t="s">
        <v>30</v>
      </c>
      <c r="O260" t="s">
        <v>31</v>
      </c>
      <c r="P260" t="s">
        <v>32</v>
      </c>
      <c r="Q260" t="s">
        <v>31</v>
      </c>
      <c r="R260" s="1" t="d">
        <v>2024-12-23</v>
      </c>
      <c r="S260" t="s">
        <v>33</v>
      </c>
      <c r="T260" t="s">
        <v>34</v>
      </c>
      <c r="W260" t="s">
        <v>35</v>
      </c>
    </row>
    <row r="261" spans="1:23">
      <c r="A261" t="s">
        <v>1132</v>
      </c>
      <c r="B261" s="1" t="d">
        <v>2024-12-09</v>
      </c>
      <c r="C261" t="s">
        <v>1133</v>
      </c>
      <c r="D261" t="s">
        <v>25</v>
      </c>
      <c r="E261" t="s">
        <v>1134</v>
      </c>
      <c r="F261" t="s">
        <v>27</v>
      </c>
      <c r="G261" t="s">
        <v>1135</v>
      </c>
      <c r="H261">
        <v>2099</v>
      </c>
      <c r="I261">
        <v>1</v>
      </c>
      <c r="J261">
        <v>2099</v>
      </c>
      <c r="L261">
        <v>0</v>
      </c>
      <c r="M261" t="s">
        <v>64</v>
      </c>
      <c r="N261" t="s">
        <v>44</v>
      </c>
      <c r="O261" t="s">
        <v>45</v>
      </c>
      <c r="P261" t="s">
        <v>45</v>
      </c>
      <c r="Q261" t="s">
        <v>45</v>
      </c>
      <c r="R261" s="1" t="d">
        <v>2024-12-24</v>
      </c>
      <c r="S261" t="s">
        <v>33</v>
      </c>
      <c r="T261" t="s">
        <v>46</v>
      </c>
      <c r="U261" t="s">
        <v>68</v>
      </c>
      <c r="V261" s="1" t="d">
        <v>2025-01-19</v>
      </c>
      <c r="W261" t="s">
        <v>48</v>
      </c>
    </row>
    <row r="262" spans="1:23">
      <c r="A262" t="s">
        <v>1136</v>
      </c>
      <c r="B262" s="1" t="d">
        <v>2024-12-10</v>
      </c>
      <c r="C262" t="s">
        <v>1137</v>
      </c>
      <c r="D262" t="s">
        <v>25</v>
      </c>
      <c r="E262" t="s">
        <v>1138</v>
      </c>
      <c r="F262" t="s">
        <v>40</v>
      </c>
      <c r="G262" t="s">
        <v>1139</v>
      </c>
      <c r="H262">
        <v>3999</v>
      </c>
      <c r="I262">
        <v>1</v>
      </c>
      <c r="J262">
        <v>3999</v>
      </c>
      <c r="L262">
        <v>0</v>
      </c>
      <c r="M262" t="s">
        <v>43</v>
      </c>
      <c r="N262" t="s">
        <v>65</v>
      </c>
      <c r="O262" t="s">
        <v>118</v>
      </c>
      <c r="P262" t="s">
        <v>119</v>
      </c>
      <c r="Q262" t="s">
        <v>45</v>
      </c>
      <c r="R262" s="1" t="d">
        <v>2024-12-25</v>
      </c>
      <c r="S262" t="s">
        <v>33</v>
      </c>
      <c r="T262" t="s">
        <v>46</v>
      </c>
      <c r="U262" t="s">
        <v>47</v>
      </c>
      <c r="V262" s="1" t="d">
        <v>2025-01-22</v>
      </c>
      <c r="W262" t="s">
        <v>48</v>
      </c>
    </row>
    <row r="263" spans="1:23">
      <c r="A263" t="s">
        <v>1140</v>
      </c>
      <c r="B263" s="1" t="d">
        <v>2024-12-10</v>
      </c>
      <c r="C263" t="s">
        <v>1141</v>
      </c>
      <c r="D263" t="s">
        <v>25</v>
      </c>
      <c r="E263" t="s">
        <v>1142</v>
      </c>
      <c r="F263" t="s">
        <v>53</v>
      </c>
      <c r="G263" t="s">
        <v>1143</v>
      </c>
      <c r="H263">
        <v>2499</v>
      </c>
      <c r="I263">
        <v>1</v>
      </c>
      <c r="J263">
        <v>2499</v>
      </c>
      <c r="K263" s="2" t="d">
        <v>2020-12-01</v>
      </c>
      <c r="L263">
        <v>20</v>
      </c>
      <c r="M263" t="s">
        <v>29</v>
      </c>
      <c r="N263" t="s">
        <v>30</v>
      </c>
      <c r="O263" t="s">
        <v>137</v>
      </c>
      <c r="P263" t="s">
        <v>113</v>
      </c>
      <c r="Q263" t="s">
        <v>45</v>
      </c>
      <c r="R263" s="1" t="d">
        <v>2024-12-25</v>
      </c>
      <c r="S263" t="s">
        <v>33</v>
      </c>
      <c r="T263" t="s">
        <v>34</v>
      </c>
      <c r="W263" t="s">
        <v>35</v>
      </c>
    </row>
    <row r="264" spans="1:23">
      <c r="A264" t="s">
        <v>1144</v>
      </c>
      <c r="B264" s="1" t="d">
        <v>2024-12-10</v>
      </c>
      <c r="C264" t="s">
        <v>1145</v>
      </c>
      <c r="D264" t="s">
        <v>38</v>
      </c>
      <c r="E264" t="s">
        <v>1146</v>
      </c>
      <c r="F264" t="s">
        <v>61</v>
      </c>
      <c r="G264" t="s">
        <v>1147</v>
      </c>
      <c r="H264">
        <v>4899</v>
      </c>
      <c r="I264">
        <v>1</v>
      </c>
      <c r="J264">
        <v>4899</v>
      </c>
      <c r="L264">
        <v>0</v>
      </c>
      <c r="M264" t="s">
        <v>55</v>
      </c>
      <c r="N264" t="s">
        <v>44</v>
      </c>
      <c r="O264" t="s">
        <v>143</v>
      </c>
      <c r="P264" t="s">
        <v>144</v>
      </c>
      <c r="Q264" t="s">
        <v>45</v>
      </c>
      <c r="R264" s="1" t="d">
        <v>2024-12-26</v>
      </c>
      <c r="S264" t="s">
        <v>33</v>
      </c>
      <c r="T264" t="s">
        <v>46</v>
      </c>
      <c r="U264" t="s">
        <v>104</v>
      </c>
      <c r="V264" s="1" t="d">
        <v>2025-01-23</v>
      </c>
      <c r="W264" t="s">
        <v>48</v>
      </c>
    </row>
    <row r="265" spans="1:23">
      <c r="A265" t="s">
        <v>1148</v>
      </c>
      <c r="B265" s="1" t="d">
        <v>2024-12-10</v>
      </c>
      <c r="C265" t="s">
        <v>1149</v>
      </c>
      <c r="D265" t="s">
        <v>25</v>
      </c>
      <c r="E265" t="s">
        <v>1150</v>
      </c>
      <c r="F265" t="s">
        <v>71</v>
      </c>
      <c r="G265" t="s">
        <v>1151</v>
      </c>
      <c r="H265">
        <v>1199</v>
      </c>
      <c r="I265">
        <v>1</v>
      </c>
      <c r="J265">
        <v>1199</v>
      </c>
      <c r="L265">
        <v>0</v>
      </c>
      <c r="M265" t="s">
        <v>111</v>
      </c>
      <c r="N265" t="s">
        <v>65</v>
      </c>
      <c r="O265" t="s">
        <v>150</v>
      </c>
      <c r="P265" t="s">
        <v>151</v>
      </c>
      <c r="Q265" t="s">
        <v>31</v>
      </c>
      <c r="R265" s="1" t="d">
        <v>2024-12-25</v>
      </c>
      <c r="S265" t="s">
        <v>33</v>
      </c>
      <c r="T265" t="s">
        <v>34</v>
      </c>
      <c r="W265" t="s">
        <v>35</v>
      </c>
    </row>
    <row r="266" spans="1:23">
      <c r="A266" t="s">
        <v>1152</v>
      </c>
      <c r="B266" s="1" t="d">
        <v>2024-12-10</v>
      </c>
      <c r="C266" t="s">
        <v>1153</v>
      </c>
      <c r="D266" t="s">
        <v>25</v>
      </c>
      <c r="E266" t="s">
        <v>1154</v>
      </c>
      <c r="F266" t="s">
        <v>27</v>
      </c>
      <c r="G266" t="s">
        <v>1155</v>
      </c>
      <c r="H266">
        <v>1899</v>
      </c>
      <c r="I266">
        <v>1</v>
      </c>
      <c r="J266">
        <v>1899</v>
      </c>
      <c r="K266" s="2" t="d">
        <v>2020-12-01</v>
      </c>
      <c r="L266">
        <v>20</v>
      </c>
      <c r="M266" t="s">
        <v>64</v>
      </c>
      <c r="N266" t="s">
        <v>30</v>
      </c>
      <c r="O266" t="s">
        <v>156</v>
      </c>
      <c r="P266" t="s">
        <v>97</v>
      </c>
      <c r="Q266" t="s">
        <v>31</v>
      </c>
      <c r="R266" s="1" t="d">
        <v>2024-12-26</v>
      </c>
      <c r="S266" t="s">
        <v>33</v>
      </c>
      <c r="T266" t="s">
        <v>46</v>
      </c>
      <c r="U266" t="s">
        <v>138</v>
      </c>
      <c r="V266" s="1" t="d">
        <v>2025-01-21</v>
      </c>
      <c r="W266" t="s">
        <v>48</v>
      </c>
    </row>
    <row r="267" spans="1:23">
      <c r="A267" t="s">
        <v>1156</v>
      </c>
      <c r="B267" s="1" t="d">
        <v>2024-12-11</v>
      </c>
      <c r="C267" t="s">
        <v>1157</v>
      </c>
      <c r="D267" t="s">
        <v>25</v>
      </c>
      <c r="E267" t="s">
        <v>1158</v>
      </c>
      <c r="F267" t="s">
        <v>40</v>
      </c>
      <c r="G267" t="s">
        <v>1159</v>
      </c>
      <c r="H267">
        <v>3599</v>
      </c>
      <c r="I267">
        <v>1</v>
      </c>
      <c r="J267">
        <v>3599</v>
      </c>
      <c r="L267">
        <v>0</v>
      </c>
      <c r="M267" t="s">
        <v>43</v>
      </c>
      <c r="N267" t="s">
        <v>44</v>
      </c>
      <c r="O267" t="s">
        <v>161</v>
      </c>
      <c r="P267" t="s">
        <v>162</v>
      </c>
      <c r="Q267" t="s">
        <v>45</v>
      </c>
      <c r="R267" s="1" t="d">
        <v>2024-12-27</v>
      </c>
      <c r="S267" t="s">
        <v>33</v>
      </c>
      <c r="T267" t="s">
        <v>34</v>
      </c>
      <c r="W267" t="s">
        <v>35</v>
      </c>
    </row>
    <row r="268" spans="1:23">
      <c r="A268" t="s">
        <v>1160</v>
      </c>
      <c r="B268" s="1" t="d">
        <v>2024-12-11</v>
      </c>
      <c r="C268" t="s">
        <v>1161</v>
      </c>
      <c r="D268" t="s">
        <v>25</v>
      </c>
      <c r="E268" t="s">
        <v>1162</v>
      </c>
      <c r="F268" t="s">
        <v>53</v>
      </c>
      <c r="G268" t="s">
        <v>1163</v>
      </c>
      <c r="H268">
        <v>2699</v>
      </c>
      <c r="I268">
        <v>1</v>
      </c>
      <c r="J268">
        <v>2699</v>
      </c>
      <c r="L268">
        <v>0</v>
      </c>
      <c r="M268" t="s">
        <v>29</v>
      </c>
      <c r="N268" t="s">
        <v>65</v>
      </c>
      <c r="O268" t="s">
        <v>167</v>
      </c>
      <c r="P268" t="s">
        <v>151</v>
      </c>
      <c r="Q268" t="s">
        <v>31</v>
      </c>
      <c r="R268" s="1" t="d">
        <v>2024-12-27</v>
      </c>
      <c r="S268" t="s">
        <v>33</v>
      </c>
      <c r="T268" t="s">
        <v>46</v>
      </c>
      <c r="U268" t="s">
        <v>47</v>
      </c>
      <c r="V268" s="1" t="d">
        <v>2025-01-24</v>
      </c>
      <c r="W268" t="s">
        <v>48</v>
      </c>
    </row>
    <row r="269" spans="1:23">
      <c r="A269" t="s">
        <v>1164</v>
      </c>
      <c r="B269" s="1" t="d">
        <v>2024-12-11</v>
      </c>
      <c r="C269" t="s">
        <v>1165</v>
      </c>
      <c r="D269" t="s">
        <v>38</v>
      </c>
      <c r="E269" t="s">
        <v>1166</v>
      </c>
      <c r="F269" t="s">
        <v>61</v>
      </c>
      <c r="G269" t="s">
        <v>1167</v>
      </c>
      <c r="H269">
        <v>5599</v>
      </c>
      <c r="I269">
        <v>1</v>
      </c>
      <c r="J269">
        <v>5599</v>
      </c>
      <c r="K269" s="2" t="d">
        <v>2020-12-01</v>
      </c>
      <c r="L269">
        <v>20</v>
      </c>
      <c r="M269" t="s">
        <v>55</v>
      </c>
      <c r="N269" t="s">
        <v>30</v>
      </c>
      <c r="O269" t="s">
        <v>172</v>
      </c>
      <c r="P269" t="s">
        <v>32</v>
      </c>
      <c r="Q269" t="s">
        <v>31</v>
      </c>
      <c r="R269" s="1" t="d">
        <v>2024-12-28</v>
      </c>
      <c r="S269" t="s">
        <v>33</v>
      </c>
      <c r="T269" t="s">
        <v>46</v>
      </c>
      <c r="U269" t="s">
        <v>79</v>
      </c>
      <c r="V269" s="1" t="d">
        <v>2025-01-25</v>
      </c>
      <c r="W269" t="s">
        <v>48</v>
      </c>
    </row>
    <row r="270" spans="1:23">
      <c r="A270" t="s">
        <v>1168</v>
      </c>
      <c r="B270" s="1" t="d">
        <v>2024-12-11</v>
      </c>
      <c r="C270" t="s">
        <v>1169</v>
      </c>
      <c r="D270" t="s">
        <v>25</v>
      </c>
      <c r="E270" t="s">
        <v>1170</v>
      </c>
      <c r="F270" t="s">
        <v>71</v>
      </c>
      <c r="G270" t="s">
        <v>1171</v>
      </c>
      <c r="H270">
        <v>399</v>
      </c>
      <c r="I270">
        <v>3</v>
      </c>
      <c r="J270">
        <v>1197</v>
      </c>
      <c r="L270">
        <v>0</v>
      </c>
      <c r="M270" t="s">
        <v>111</v>
      </c>
      <c r="N270" t="s">
        <v>44</v>
      </c>
      <c r="O270" t="s">
        <v>177</v>
      </c>
      <c r="P270" t="s">
        <v>67</v>
      </c>
      <c r="Q270" t="s">
        <v>56</v>
      </c>
      <c r="R270" s="1" t="d">
        <v>2024-12-27</v>
      </c>
      <c r="S270" t="s">
        <v>33</v>
      </c>
      <c r="T270" t="s">
        <v>34</v>
      </c>
      <c r="W270" t="s">
        <v>35</v>
      </c>
    </row>
    <row r="271" spans="1:23">
      <c r="A271" t="s">
        <v>1172</v>
      </c>
      <c r="B271" s="1" t="d">
        <v>2024-12-12</v>
      </c>
      <c r="C271" t="s">
        <v>1173</v>
      </c>
      <c r="D271" t="s">
        <v>25</v>
      </c>
      <c r="E271" t="s">
        <v>1174</v>
      </c>
      <c r="F271" t="s">
        <v>27</v>
      </c>
      <c r="G271" t="s">
        <v>1175</v>
      </c>
      <c r="H271">
        <v>2199</v>
      </c>
      <c r="I271">
        <v>1</v>
      </c>
      <c r="J271">
        <v>2199</v>
      </c>
      <c r="L271">
        <v>0</v>
      </c>
      <c r="M271" t="s">
        <v>64</v>
      </c>
      <c r="N271" t="s">
        <v>65</v>
      </c>
      <c r="O271" t="s">
        <v>182</v>
      </c>
      <c r="P271" t="s">
        <v>183</v>
      </c>
      <c r="Q271" t="s">
        <v>56</v>
      </c>
      <c r="R271" s="1" t="d">
        <v>2024-12-28</v>
      </c>
      <c r="S271" t="s">
        <v>33</v>
      </c>
      <c r="T271" t="s">
        <v>46</v>
      </c>
      <c r="U271" t="s">
        <v>68</v>
      </c>
      <c r="V271" s="1" t="d">
        <v>2025-01-23</v>
      </c>
      <c r="W271" t="s">
        <v>48</v>
      </c>
    </row>
    <row r="272" spans="1:23">
      <c r="A272" t="s">
        <v>1176</v>
      </c>
      <c r="B272" s="1" t="d">
        <v>2024-12-12</v>
      </c>
      <c r="C272" t="s">
        <v>1177</v>
      </c>
      <c r="D272" t="s">
        <v>25</v>
      </c>
      <c r="E272" t="s">
        <v>1178</v>
      </c>
      <c r="F272" t="s">
        <v>40</v>
      </c>
      <c r="G272" t="s">
        <v>1179</v>
      </c>
      <c r="H272">
        <v>4299</v>
      </c>
      <c r="I272">
        <v>1</v>
      </c>
      <c r="J272">
        <v>4299</v>
      </c>
      <c r="K272" s="2" t="d">
        <v>2020-12-01</v>
      </c>
      <c r="L272">
        <v>20</v>
      </c>
      <c r="M272" t="s">
        <v>43</v>
      </c>
      <c r="N272" t="s">
        <v>30</v>
      </c>
      <c r="O272" t="s">
        <v>188</v>
      </c>
      <c r="P272" t="s">
        <v>189</v>
      </c>
      <c r="Q272" t="s">
        <v>56</v>
      </c>
      <c r="R272" s="1" t="d">
        <v>2024-12-29</v>
      </c>
      <c r="S272" t="s">
        <v>33</v>
      </c>
      <c r="T272" t="s">
        <v>34</v>
      </c>
      <c r="W272" t="s">
        <v>35</v>
      </c>
    </row>
    <row r="273" spans="1:23">
      <c r="A273" t="s">
        <v>1180</v>
      </c>
      <c r="B273" s="1" t="d">
        <v>2024-12-12</v>
      </c>
      <c r="C273" t="s">
        <v>1181</v>
      </c>
      <c r="D273" t="s">
        <v>25</v>
      </c>
      <c r="E273" t="s">
        <v>1182</v>
      </c>
      <c r="F273" t="s">
        <v>53</v>
      </c>
      <c r="G273" t="s">
        <v>1183</v>
      </c>
      <c r="H273">
        <v>2399</v>
      </c>
      <c r="I273">
        <v>1</v>
      </c>
      <c r="J273">
        <v>2399</v>
      </c>
      <c r="L273">
        <v>0</v>
      </c>
      <c r="M273" t="s">
        <v>29</v>
      </c>
      <c r="N273" t="s">
        <v>44</v>
      </c>
      <c r="O273" t="s">
        <v>194</v>
      </c>
      <c r="P273" t="s">
        <v>183</v>
      </c>
      <c r="Q273" t="s">
        <v>56</v>
      </c>
      <c r="R273" s="1" t="d">
        <v>2024-12-29</v>
      </c>
      <c r="S273" t="s">
        <v>33</v>
      </c>
      <c r="T273" t="s">
        <v>46</v>
      </c>
      <c r="U273" t="s">
        <v>104</v>
      </c>
      <c r="V273" s="1" t="d">
        <v>2025-01-26</v>
      </c>
      <c r="W273" t="s">
        <v>48</v>
      </c>
    </row>
    <row r="274" spans="1:23">
      <c r="A274" t="s">
        <v>1184</v>
      </c>
      <c r="B274" s="1" t="d">
        <v>2024-12-12</v>
      </c>
      <c r="C274" t="s">
        <v>1185</v>
      </c>
      <c r="D274" t="s">
        <v>38</v>
      </c>
      <c r="E274" t="s">
        <v>1186</v>
      </c>
      <c r="F274" t="s">
        <v>61</v>
      </c>
      <c r="G274" t="s">
        <v>1187</v>
      </c>
      <c r="H274">
        <v>6299</v>
      </c>
      <c r="I274">
        <v>1</v>
      </c>
      <c r="J274">
        <v>6299</v>
      </c>
      <c r="L274">
        <v>0</v>
      </c>
      <c r="M274" t="s">
        <v>55</v>
      </c>
      <c r="N274" t="s">
        <v>65</v>
      </c>
      <c r="O274" t="s">
        <v>199</v>
      </c>
      <c r="P274" t="s">
        <v>57</v>
      </c>
      <c r="Q274" t="s">
        <v>56</v>
      </c>
      <c r="S274" t="s">
        <v>120</v>
      </c>
      <c r="T274" t="s">
        <v>34</v>
      </c>
      <c r="W274" t="s">
        <v>35</v>
      </c>
    </row>
    <row r="275" spans="1:23">
      <c r="A275" t="s">
        <v>1188</v>
      </c>
      <c r="B275" s="1" t="d">
        <v>2024-12-13</v>
      </c>
      <c r="C275" t="s">
        <v>1189</v>
      </c>
      <c r="D275" t="s">
        <v>25</v>
      </c>
      <c r="E275" t="s">
        <v>1190</v>
      </c>
      <c r="F275" t="s">
        <v>71</v>
      </c>
      <c r="G275" t="s">
        <v>1191</v>
      </c>
      <c r="H275">
        <v>599</v>
      </c>
      <c r="I275">
        <v>2</v>
      </c>
      <c r="J275">
        <v>1198</v>
      </c>
      <c r="K275" s="2" t="d">
        <v>2020-12-01</v>
      </c>
      <c r="L275">
        <v>20</v>
      </c>
      <c r="M275" t="s">
        <v>111</v>
      </c>
      <c r="N275" t="s">
        <v>30</v>
      </c>
      <c r="O275" t="s">
        <v>204</v>
      </c>
      <c r="P275" t="s">
        <v>97</v>
      </c>
      <c r="Q275" t="s">
        <v>31</v>
      </c>
      <c r="R275" s="1" t="d">
        <v>2024-12-29</v>
      </c>
      <c r="S275" t="s">
        <v>33</v>
      </c>
      <c r="T275" t="s">
        <v>34</v>
      </c>
      <c r="W275" t="s">
        <v>35</v>
      </c>
    </row>
    <row r="276" spans="1:23">
      <c r="A276" t="s">
        <v>1192</v>
      </c>
      <c r="B276" s="1" t="d">
        <v>2024-12-13</v>
      </c>
      <c r="C276" t="s">
        <v>1193</v>
      </c>
      <c r="D276" t="s">
        <v>25</v>
      </c>
      <c r="E276" t="s">
        <v>1194</v>
      </c>
      <c r="F276" t="s">
        <v>27</v>
      </c>
      <c r="G276" t="s">
        <v>1195</v>
      </c>
      <c r="H276">
        <v>2399</v>
      </c>
      <c r="I276">
        <v>1</v>
      </c>
      <c r="J276">
        <v>2399</v>
      </c>
      <c r="L276">
        <v>0</v>
      </c>
      <c r="M276" t="s">
        <v>64</v>
      </c>
      <c r="N276" t="s">
        <v>44</v>
      </c>
      <c r="O276" t="s">
        <v>209</v>
      </c>
      <c r="P276" t="s">
        <v>97</v>
      </c>
      <c r="Q276" t="s">
        <v>31</v>
      </c>
      <c r="R276" s="1" t="d">
        <v>2024-12-30</v>
      </c>
      <c r="S276" t="s">
        <v>33</v>
      </c>
      <c r="T276" t="s">
        <v>46</v>
      </c>
      <c r="U276" t="s">
        <v>47</v>
      </c>
      <c r="V276" s="1" t="d">
        <v>2025-01-27</v>
      </c>
      <c r="W276" t="s">
        <v>48</v>
      </c>
    </row>
    <row r="277" spans="1:23">
      <c r="A277" t="s">
        <v>1196</v>
      </c>
      <c r="B277" s="1" t="d">
        <v>2024-12-13</v>
      </c>
      <c r="C277" t="s">
        <v>1197</v>
      </c>
      <c r="D277" t="s">
        <v>25</v>
      </c>
      <c r="E277" t="s">
        <v>1198</v>
      </c>
      <c r="F277" t="s">
        <v>40</v>
      </c>
      <c r="G277" t="s">
        <v>1199</v>
      </c>
      <c r="H277">
        <v>5999</v>
      </c>
      <c r="I277">
        <v>1</v>
      </c>
      <c r="J277">
        <v>5999</v>
      </c>
      <c r="L277">
        <v>0</v>
      </c>
      <c r="M277" t="s">
        <v>43</v>
      </c>
      <c r="N277" t="s">
        <v>65</v>
      </c>
      <c r="O277" t="s">
        <v>214</v>
      </c>
      <c r="P277" t="s">
        <v>113</v>
      </c>
      <c r="Q277" t="s">
        <v>45</v>
      </c>
      <c r="R277" s="1" t="d">
        <v>2024-12-31</v>
      </c>
      <c r="S277" t="s">
        <v>33</v>
      </c>
      <c r="T277" t="s">
        <v>46</v>
      </c>
      <c r="U277" t="s">
        <v>138</v>
      </c>
      <c r="V277" s="1" t="d">
        <v>2025-01-28</v>
      </c>
      <c r="W277" t="s">
        <v>48</v>
      </c>
    </row>
    <row r="278" spans="1:23">
      <c r="A278" t="s">
        <v>1200</v>
      </c>
      <c r="B278" s="1" t="d">
        <v>2024-12-13</v>
      </c>
      <c r="C278" t="s">
        <v>1201</v>
      </c>
      <c r="D278" t="s">
        <v>25</v>
      </c>
      <c r="E278" t="s">
        <v>1202</v>
      </c>
      <c r="F278" t="s">
        <v>53</v>
      </c>
      <c r="G278" t="s">
        <v>1203</v>
      </c>
      <c r="H278">
        <v>1899</v>
      </c>
      <c r="I278">
        <v>1</v>
      </c>
      <c r="J278">
        <v>1899</v>
      </c>
      <c r="K278" s="2" t="d">
        <v>2020-12-01</v>
      </c>
      <c r="L278">
        <v>20</v>
      </c>
      <c r="M278" t="s">
        <v>29</v>
      </c>
      <c r="N278" t="s">
        <v>30</v>
      </c>
      <c r="O278" t="s">
        <v>31</v>
      </c>
      <c r="P278" t="s">
        <v>32</v>
      </c>
      <c r="Q278" t="s">
        <v>31</v>
      </c>
      <c r="R278" s="1" t="d">
        <v>2024-12-30</v>
      </c>
      <c r="S278" t="s">
        <v>33</v>
      </c>
      <c r="T278" t="s">
        <v>34</v>
      </c>
      <c r="W278" t="s">
        <v>35</v>
      </c>
    </row>
    <row r="279" spans="1:23">
      <c r="A279" t="s">
        <v>1204</v>
      </c>
      <c r="B279" s="1" t="d">
        <v>2024-12-14</v>
      </c>
      <c r="C279" t="s">
        <v>1205</v>
      </c>
      <c r="D279" t="s">
        <v>38</v>
      </c>
      <c r="E279" t="s">
        <v>1206</v>
      </c>
      <c r="F279" t="s">
        <v>61</v>
      </c>
      <c r="G279" t="s">
        <v>1207</v>
      </c>
      <c r="H279">
        <v>4999</v>
      </c>
      <c r="I279">
        <v>1</v>
      </c>
      <c r="J279">
        <v>4999</v>
      </c>
      <c r="L279">
        <v>0</v>
      </c>
      <c r="M279" t="s">
        <v>55</v>
      </c>
      <c r="N279" t="s">
        <v>44</v>
      </c>
      <c r="O279" t="s">
        <v>45</v>
      </c>
      <c r="P279" t="s">
        <v>45</v>
      </c>
      <c r="Q279" t="s">
        <v>45</v>
      </c>
      <c r="R279" s="1" t="d">
        <v>2024-12-31</v>
      </c>
      <c r="S279" t="s">
        <v>33</v>
      </c>
      <c r="T279" t="s">
        <v>46</v>
      </c>
      <c r="U279" t="s">
        <v>79</v>
      </c>
      <c r="V279" s="1" t="d">
        <v>2025-01-29</v>
      </c>
      <c r="W279" t="s">
        <v>48</v>
      </c>
    </row>
    <row r="280" spans="1:23">
      <c r="A280" t="s">
        <v>1208</v>
      </c>
      <c r="B280" s="1" t="d">
        <v>2024-12-14</v>
      </c>
      <c r="C280" t="s">
        <v>1209</v>
      </c>
      <c r="D280" t="s">
        <v>25</v>
      </c>
      <c r="E280" t="s">
        <v>1210</v>
      </c>
      <c r="F280" t="s">
        <v>71</v>
      </c>
      <c r="G280" t="s">
        <v>1211</v>
      </c>
      <c r="H280">
        <v>1699</v>
      </c>
      <c r="I280">
        <v>1</v>
      </c>
      <c r="J280">
        <v>1699</v>
      </c>
      <c r="L280">
        <v>0</v>
      </c>
      <c r="M280" t="s">
        <v>111</v>
      </c>
      <c r="N280" t="s">
        <v>65</v>
      </c>
      <c r="O280" t="s">
        <v>90</v>
      </c>
      <c r="P280" t="s">
        <v>91</v>
      </c>
      <c r="Q280" t="s">
        <v>45</v>
      </c>
      <c r="R280" s="1" t="d">
        <v>2024-12-30</v>
      </c>
      <c r="S280" t="s">
        <v>33</v>
      </c>
      <c r="T280" t="s">
        <v>46</v>
      </c>
      <c r="U280" t="s">
        <v>68</v>
      </c>
      <c r="V280" s="1" t="d">
        <v>2025-01-26</v>
      </c>
      <c r="W280" t="s">
        <v>48</v>
      </c>
    </row>
    <row r="281" spans="1:23">
      <c r="A281" t="s">
        <v>1212</v>
      </c>
      <c r="B281" s="1" t="d">
        <v>2024-12-14</v>
      </c>
      <c r="C281" t="s">
        <v>1213</v>
      </c>
      <c r="D281" t="s">
        <v>25</v>
      </c>
      <c r="E281" t="s">
        <v>1214</v>
      </c>
      <c r="F281" t="s">
        <v>27</v>
      </c>
      <c r="G281" t="s">
        <v>1215</v>
      </c>
      <c r="H281">
        <v>2099</v>
      </c>
      <c r="I281">
        <v>1</v>
      </c>
      <c r="J281">
        <v>2099</v>
      </c>
      <c r="K281" s="2" t="d">
        <v>2020-12-01</v>
      </c>
      <c r="L281">
        <v>20</v>
      </c>
      <c r="M281" t="s">
        <v>64</v>
      </c>
      <c r="N281" t="s">
        <v>30</v>
      </c>
      <c r="O281" t="s">
        <v>66</v>
      </c>
      <c r="P281" t="s">
        <v>67</v>
      </c>
      <c r="Q281" t="s">
        <v>56</v>
      </c>
      <c r="R281" s="1" t="d">
        <v>2024-12-31</v>
      </c>
      <c r="S281" t="s">
        <v>33</v>
      </c>
      <c r="T281" t="s">
        <v>34</v>
      </c>
      <c r="W281" t="s">
        <v>35</v>
      </c>
    </row>
    <row r="282" spans="1:23">
      <c r="A282" t="s">
        <v>1216</v>
      </c>
      <c r="B282" s="1" t="d">
        <v>2024-12-14</v>
      </c>
      <c r="C282" t="s">
        <v>1217</v>
      </c>
      <c r="D282" t="s">
        <v>25</v>
      </c>
      <c r="E282" t="s">
        <v>217</v>
      </c>
      <c r="F282" t="s">
        <v>40</v>
      </c>
      <c r="G282" t="s">
        <v>1218</v>
      </c>
      <c r="H282">
        <v>4599</v>
      </c>
      <c r="I282">
        <v>1</v>
      </c>
      <c r="J282">
        <v>4599</v>
      </c>
      <c r="L282">
        <v>0</v>
      </c>
      <c r="M282" t="s">
        <v>43</v>
      </c>
      <c r="N282" t="s">
        <v>44</v>
      </c>
      <c r="O282" t="s">
        <v>77</v>
      </c>
      <c r="P282" t="s">
        <v>78</v>
      </c>
      <c r="Q282" t="s">
        <v>56</v>
      </c>
      <c r="R282" s="1" t="d">
        <v>2025-01-02</v>
      </c>
      <c r="S282" t="s">
        <v>33</v>
      </c>
      <c r="T282" t="s">
        <v>46</v>
      </c>
      <c r="U282" t="s">
        <v>47</v>
      </c>
      <c r="V282" s="1" t="d">
        <v>2025-01-30</v>
      </c>
      <c r="W282" t="s">
        <v>48</v>
      </c>
    </row>
    <row r="283" spans="1:23">
      <c r="A283" t="s">
        <v>1219</v>
      </c>
      <c r="B283" s="1" t="d">
        <v>2024-12-15</v>
      </c>
      <c r="C283" t="s">
        <v>1220</v>
      </c>
      <c r="D283" t="s">
        <v>25</v>
      </c>
      <c r="E283" t="s">
        <v>1221</v>
      </c>
      <c r="F283" t="s">
        <v>53</v>
      </c>
      <c r="G283" t="s">
        <v>1222</v>
      </c>
      <c r="H283">
        <v>2299</v>
      </c>
      <c r="I283">
        <v>1</v>
      </c>
      <c r="J283">
        <v>2299</v>
      </c>
      <c r="L283">
        <v>0</v>
      </c>
      <c r="M283" t="s">
        <v>29</v>
      </c>
      <c r="N283" t="s">
        <v>65</v>
      </c>
      <c r="O283" t="s">
        <v>84</v>
      </c>
      <c r="P283" t="s">
        <v>32</v>
      </c>
      <c r="Q283" t="s">
        <v>31</v>
      </c>
      <c r="R283" s="1" t="d">
        <v>2025-01-02</v>
      </c>
      <c r="S283" t="s">
        <v>33</v>
      </c>
      <c r="T283" t="s">
        <v>34</v>
      </c>
      <c r="W283" t="s">
        <v>35</v>
      </c>
    </row>
    <row r="284" spans="1:23">
      <c r="A284" t="s">
        <v>1223</v>
      </c>
      <c r="B284" s="1" t="d">
        <v>2024-12-15</v>
      </c>
      <c r="C284" t="s">
        <v>1224</v>
      </c>
      <c r="D284" t="s">
        <v>38</v>
      </c>
      <c r="E284" t="s">
        <v>1225</v>
      </c>
      <c r="F284" t="s">
        <v>61</v>
      </c>
      <c r="G284" t="s">
        <v>1226</v>
      </c>
      <c r="H284">
        <v>5799</v>
      </c>
      <c r="I284">
        <v>1</v>
      </c>
      <c r="J284">
        <v>5799</v>
      </c>
      <c r="K284" s="2" t="d">
        <v>2020-12-01</v>
      </c>
      <c r="L284">
        <v>20</v>
      </c>
      <c r="M284" t="s">
        <v>55</v>
      </c>
      <c r="N284" t="s">
        <v>30</v>
      </c>
      <c r="O284" t="s">
        <v>96</v>
      </c>
      <c r="P284" t="s">
        <v>97</v>
      </c>
      <c r="Q284" t="s">
        <v>31</v>
      </c>
      <c r="R284" s="1" t="d">
        <v>2025-01-03</v>
      </c>
      <c r="S284" t="s">
        <v>33</v>
      </c>
      <c r="T284" t="s">
        <v>46</v>
      </c>
      <c r="U284" t="s">
        <v>104</v>
      </c>
      <c r="V284" s="1" t="d">
        <v>2025-01-31</v>
      </c>
      <c r="W284" t="s">
        <v>48</v>
      </c>
    </row>
    <row r="285" spans="1:23">
      <c r="A285" t="s">
        <v>1227</v>
      </c>
      <c r="B285" s="1" t="d">
        <v>2024-12-15</v>
      </c>
      <c r="C285" t="s">
        <v>1228</v>
      </c>
      <c r="D285" t="s">
        <v>25</v>
      </c>
      <c r="E285" t="s">
        <v>1229</v>
      </c>
      <c r="F285" t="s">
        <v>71</v>
      </c>
      <c r="G285" t="s">
        <v>1230</v>
      </c>
      <c r="H285">
        <v>799</v>
      </c>
      <c r="I285">
        <v>2</v>
      </c>
      <c r="J285">
        <v>1598</v>
      </c>
      <c r="L285">
        <v>0</v>
      </c>
      <c r="M285" t="s">
        <v>111</v>
      </c>
      <c r="N285" t="s">
        <v>44</v>
      </c>
      <c r="O285" t="s">
        <v>102</v>
      </c>
      <c r="P285" t="s">
        <v>103</v>
      </c>
      <c r="Q285" t="s">
        <v>45</v>
      </c>
      <c r="R285" s="1" t="d">
        <v>2025-01-02</v>
      </c>
      <c r="S285" t="s">
        <v>33</v>
      </c>
      <c r="T285" t="s">
        <v>34</v>
      </c>
      <c r="W285" t="s">
        <v>35</v>
      </c>
    </row>
    <row r="286" spans="1:23">
      <c r="A286" t="s">
        <v>1231</v>
      </c>
      <c r="B286" s="1" t="d">
        <v>2024-12-15</v>
      </c>
      <c r="C286" t="s">
        <v>1232</v>
      </c>
      <c r="D286" t="s">
        <v>25</v>
      </c>
      <c r="E286" t="s">
        <v>1233</v>
      </c>
      <c r="F286" t="s">
        <v>27</v>
      </c>
      <c r="G286" t="s">
        <v>1234</v>
      </c>
      <c r="H286">
        <v>1999</v>
      </c>
      <c r="I286">
        <v>1</v>
      </c>
      <c r="J286">
        <v>1999</v>
      </c>
      <c r="L286">
        <v>0</v>
      </c>
      <c r="M286" t="s">
        <v>64</v>
      </c>
      <c r="N286" t="s">
        <v>65</v>
      </c>
      <c r="O286" t="s">
        <v>112</v>
      </c>
      <c r="P286" t="s">
        <v>113</v>
      </c>
      <c r="Q286" t="s">
        <v>45</v>
      </c>
      <c r="R286" s="1" t="d">
        <v>2025-01-03</v>
      </c>
      <c r="S286" t="s">
        <v>33</v>
      </c>
      <c r="T286" t="s">
        <v>46</v>
      </c>
      <c r="U286" t="s">
        <v>138</v>
      </c>
      <c r="V286" s="1" t="d">
        <v>2025-01-30</v>
      </c>
      <c r="W286" t="s">
        <v>48</v>
      </c>
    </row>
    <row r="287" spans="1:23">
      <c r="A287" t="s">
        <v>1235</v>
      </c>
      <c r="B287" s="1" t="d">
        <v>2024-12-16</v>
      </c>
      <c r="C287" t="s">
        <v>1236</v>
      </c>
      <c r="D287" t="s">
        <v>25</v>
      </c>
      <c r="E287" t="s">
        <v>1237</v>
      </c>
      <c r="F287" t="s">
        <v>40</v>
      </c>
      <c r="G287" t="s">
        <v>1238</v>
      </c>
      <c r="H287">
        <v>3899</v>
      </c>
      <c r="I287">
        <v>1</v>
      </c>
      <c r="J287">
        <v>3899</v>
      </c>
      <c r="K287" s="2" t="d">
        <v>2020-12-01</v>
      </c>
      <c r="L287">
        <v>20</v>
      </c>
      <c r="M287" t="s">
        <v>43</v>
      </c>
      <c r="N287" t="s">
        <v>30</v>
      </c>
      <c r="O287" t="s">
        <v>56</v>
      </c>
      <c r="P287" t="s">
        <v>57</v>
      </c>
      <c r="Q287" t="s">
        <v>56</v>
      </c>
      <c r="R287" s="1" t="d">
        <v>2025-01-04</v>
      </c>
      <c r="S287" t="s">
        <v>33</v>
      </c>
      <c r="T287" t="s">
        <v>46</v>
      </c>
      <c r="U287" t="s">
        <v>47</v>
      </c>
      <c r="V287" s="1" t="d">
        <v>2025-02-01</v>
      </c>
      <c r="W287" t="s">
        <v>48</v>
      </c>
    </row>
    <row r="288" spans="1:23">
      <c r="A288" t="s">
        <v>1239</v>
      </c>
      <c r="B288" s="1" t="d">
        <v>2024-12-16</v>
      </c>
      <c r="C288" t="s">
        <v>1240</v>
      </c>
      <c r="D288" t="s">
        <v>25</v>
      </c>
      <c r="E288" t="s">
        <v>1241</v>
      </c>
      <c r="F288" t="s">
        <v>53</v>
      </c>
      <c r="G288" t="s">
        <v>1242</v>
      </c>
      <c r="H288">
        <v>2599</v>
      </c>
      <c r="I288">
        <v>1</v>
      </c>
      <c r="J288">
        <v>2599</v>
      </c>
      <c r="L288">
        <v>0</v>
      </c>
      <c r="M288" t="s">
        <v>29</v>
      </c>
      <c r="N288" t="s">
        <v>44</v>
      </c>
      <c r="O288" t="s">
        <v>31</v>
      </c>
      <c r="P288" t="s">
        <v>32</v>
      </c>
      <c r="Q288" t="s">
        <v>31</v>
      </c>
      <c r="R288" s="1" t="d">
        <v>2025-01-04</v>
      </c>
      <c r="S288" t="s">
        <v>33</v>
      </c>
      <c r="T288" t="s">
        <v>34</v>
      </c>
      <c r="W288" t="s">
        <v>35</v>
      </c>
    </row>
    <row r="289" spans="1:23">
      <c r="A289" t="s">
        <v>1243</v>
      </c>
      <c r="B289" s="1" t="d">
        <v>2024-12-16</v>
      </c>
      <c r="C289" t="s">
        <v>1244</v>
      </c>
      <c r="D289" t="s">
        <v>25</v>
      </c>
      <c r="E289" t="s">
        <v>1245</v>
      </c>
      <c r="F289" t="s">
        <v>61</v>
      </c>
      <c r="G289" t="s">
        <v>1246</v>
      </c>
      <c r="H289">
        <v>5299</v>
      </c>
      <c r="I289">
        <v>1</v>
      </c>
      <c r="J289">
        <v>5299</v>
      </c>
      <c r="L289">
        <v>0</v>
      </c>
      <c r="M289" t="s">
        <v>55</v>
      </c>
      <c r="N289" t="s">
        <v>65</v>
      </c>
      <c r="O289" t="s">
        <v>45</v>
      </c>
      <c r="P289" t="s">
        <v>45</v>
      </c>
      <c r="Q289" t="s">
        <v>45</v>
      </c>
      <c r="R289" s="1" t="d">
        <v>2025-01-05</v>
      </c>
      <c r="S289" t="s">
        <v>33</v>
      </c>
      <c r="T289" t="s">
        <v>46</v>
      </c>
      <c r="U289" t="s">
        <v>79</v>
      </c>
      <c r="V289" s="1" t="d">
        <v>2025-02-02</v>
      </c>
      <c r="W289" t="s">
        <v>48</v>
      </c>
    </row>
    <row r="290" spans="1:23">
      <c r="A290" t="s">
        <v>1247</v>
      </c>
      <c r="B290" s="1" t="d">
        <v>2024-12-16</v>
      </c>
      <c r="C290" t="s">
        <v>1248</v>
      </c>
      <c r="D290" t="s">
        <v>38</v>
      </c>
      <c r="E290" t="s">
        <v>1249</v>
      </c>
      <c r="F290" t="s">
        <v>71</v>
      </c>
      <c r="G290" t="s">
        <v>1250</v>
      </c>
      <c r="H290">
        <v>1399</v>
      </c>
      <c r="I290">
        <v>1</v>
      </c>
      <c r="J290">
        <v>1399</v>
      </c>
      <c r="K290" s="2" t="d">
        <v>2020-12-01</v>
      </c>
      <c r="L290">
        <v>20</v>
      </c>
      <c r="M290" t="s">
        <v>111</v>
      </c>
      <c r="N290" t="s">
        <v>30</v>
      </c>
      <c r="O290" t="s">
        <v>118</v>
      </c>
      <c r="P290" t="s">
        <v>119</v>
      </c>
      <c r="Q290" t="s">
        <v>45</v>
      </c>
      <c r="R290" s="1" t="d">
        <v>2025-01-04</v>
      </c>
      <c r="S290" t="s">
        <v>33</v>
      </c>
      <c r="T290" t="s">
        <v>34</v>
      </c>
      <c r="W290" t="s">
        <v>35</v>
      </c>
    </row>
    <row r="291" spans="1:23">
      <c r="A291" t="s">
        <v>1251</v>
      </c>
      <c r="B291" s="1" t="d">
        <v>2024-12-17</v>
      </c>
      <c r="C291" t="s">
        <v>1252</v>
      </c>
      <c r="D291" t="s">
        <v>25</v>
      </c>
      <c r="E291" t="s">
        <v>1253</v>
      </c>
      <c r="F291" t="s">
        <v>27</v>
      </c>
      <c r="G291" t="s">
        <v>1254</v>
      </c>
      <c r="H291">
        <v>1799</v>
      </c>
      <c r="I291">
        <v>1</v>
      </c>
      <c r="J291">
        <v>1799</v>
      </c>
      <c r="L291">
        <v>0</v>
      </c>
      <c r="M291" t="s">
        <v>64</v>
      </c>
      <c r="N291" t="s">
        <v>44</v>
      </c>
      <c r="O291" t="s">
        <v>137</v>
      </c>
      <c r="P291" t="s">
        <v>113</v>
      </c>
      <c r="Q291" t="s">
        <v>45</v>
      </c>
      <c r="R291" s="1" t="d">
        <v>2025-01-05</v>
      </c>
      <c r="S291" t="s">
        <v>33</v>
      </c>
      <c r="T291" t="s">
        <v>46</v>
      </c>
      <c r="U291" t="s">
        <v>68</v>
      </c>
      <c r="V291" s="1" t="d">
        <v>2025-02-01</v>
      </c>
      <c r="W291" t="s">
        <v>48</v>
      </c>
    </row>
    <row r="292" spans="1:23">
      <c r="A292" t="s">
        <v>1255</v>
      </c>
      <c r="B292" s="1" t="d">
        <v>2024-12-17</v>
      </c>
      <c r="C292" t="s">
        <v>1256</v>
      </c>
      <c r="D292" t="s">
        <v>25</v>
      </c>
      <c r="E292" t="s">
        <v>1257</v>
      </c>
      <c r="F292" t="s">
        <v>40</v>
      </c>
      <c r="G292" t="s">
        <v>1258</v>
      </c>
      <c r="H292">
        <v>4199</v>
      </c>
      <c r="I292">
        <v>1</v>
      </c>
      <c r="J292">
        <v>4199</v>
      </c>
      <c r="L292">
        <v>0</v>
      </c>
      <c r="M292" t="s">
        <v>43</v>
      </c>
      <c r="N292" t="s">
        <v>65</v>
      </c>
      <c r="O292" t="s">
        <v>143</v>
      </c>
      <c r="P292" t="s">
        <v>144</v>
      </c>
      <c r="Q292" t="s">
        <v>45</v>
      </c>
      <c r="R292" s="1" t="d">
        <v>2025-01-06</v>
      </c>
      <c r="S292" t="s">
        <v>33</v>
      </c>
      <c r="T292" t="s">
        <v>46</v>
      </c>
      <c r="U292" t="s">
        <v>47</v>
      </c>
      <c r="V292" s="1" t="d">
        <v>2025-02-03</v>
      </c>
      <c r="W292" t="s">
        <v>48</v>
      </c>
    </row>
    <row r="293" spans="1:23">
      <c r="A293" t="s">
        <v>1259</v>
      </c>
      <c r="B293" s="1" t="d">
        <v>2024-12-17</v>
      </c>
      <c r="C293" t="s">
        <v>1260</v>
      </c>
      <c r="D293" t="s">
        <v>25</v>
      </c>
      <c r="E293" t="s">
        <v>1261</v>
      </c>
      <c r="F293" t="s">
        <v>53</v>
      </c>
      <c r="G293" t="s">
        <v>1262</v>
      </c>
      <c r="H293">
        <v>2799</v>
      </c>
      <c r="I293">
        <v>1</v>
      </c>
      <c r="J293">
        <v>2799</v>
      </c>
      <c r="K293" s="2" t="d">
        <v>2020-12-01</v>
      </c>
      <c r="L293">
        <v>20</v>
      </c>
      <c r="M293" t="s">
        <v>29</v>
      </c>
      <c r="N293" t="s">
        <v>30</v>
      </c>
      <c r="O293" t="s">
        <v>150</v>
      </c>
      <c r="P293" t="s">
        <v>151</v>
      </c>
      <c r="Q293" t="s">
        <v>31</v>
      </c>
      <c r="R293" s="1" t="d">
        <v>2025-01-06</v>
      </c>
      <c r="S293" t="s">
        <v>33</v>
      </c>
      <c r="T293" t="s">
        <v>34</v>
      </c>
      <c r="W293" t="s">
        <v>35</v>
      </c>
    </row>
    <row r="294" spans="1:23">
      <c r="A294" t="s">
        <v>1263</v>
      </c>
      <c r="B294" s="1" t="d">
        <v>2024-12-17</v>
      </c>
      <c r="C294" t="s">
        <v>1264</v>
      </c>
      <c r="D294" t="s">
        <v>25</v>
      </c>
      <c r="E294" t="s">
        <v>1265</v>
      </c>
      <c r="F294" t="s">
        <v>61</v>
      </c>
      <c r="G294" t="s">
        <v>1266</v>
      </c>
      <c r="H294">
        <v>5499</v>
      </c>
      <c r="I294">
        <v>1</v>
      </c>
      <c r="J294">
        <v>5499</v>
      </c>
      <c r="L294">
        <v>0</v>
      </c>
      <c r="M294" t="s">
        <v>55</v>
      </c>
      <c r="N294" t="s">
        <v>44</v>
      </c>
      <c r="O294" t="s">
        <v>156</v>
      </c>
      <c r="P294" t="s">
        <v>97</v>
      </c>
      <c r="Q294" t="s">
        <v>31</v>
      </c>
      <c r="R294" s="1" t="d">
        <v>2025-01-07</v>
      </c>
      <c r="S294" t="s">
        <v>33</v>
      </c>
      <c r="T294" t="s">
        <v>46</v>
      </c>
      <c r="U294" t="s">
        <v>104</v>
      </c>
      <c r="V294" s="1" t="d">
        <v>2025-02-04</v>
      </c>
      <c r="W294" t="s">
        <v>48</v>
      </c>
    </row>
    <row r="295" spans="1:23">
      <c r="A295" t="s">
        <v>1267</v>
      </c>
      <c r="B295" s="1" t="d">
        <v>2024-12-18</v>
      </c>
      <c r="C295" t="s">
        <v>1268</v>
      </c>
      <c r="D295" t="s">
        <v>38</v>
      </c>
      <c r="E295" t="s">
        <v>1269</v>
      </c>
      <c r="F295" t="s">
        <v>71</v>
      </c>
      <c r="G295" t="s">
        <v>1270</v>
      </c>
      <c r="H295">
        <v>699</v>
      </c>
      <c r="I295">
        <v>2</v>
      </c>
      <c r="J295">
        <v>1398</v>
      </c>
      <c r="L295">
        <v>0</v>
      </c>
      <c r="M295" t="s">
        <v>111</v>
      </c>
      <c r="N295" t="s">
        <v>65</v>
      </c>
      <c r="O295" t="s">
        <v>161</v>
      </c>
      <c r="P295" t="s">
        <v>162</v>
      </c>
      <c r="Q295" t="s">
        <v>45</v>
      </c>
      <c r="R295" s="1" t="d">
        <v>2025-01-06</v>
      </c>
      <c r="S295" t="s">
        <v>33</v>
      </c>
      <c r="T295" t="s">
        <v>34</v>
      </c>
      <c r="W295" t="s">
        <v>35</v>
      </c>
    </row>
    <row r="296" spans="1:23">
      <c r="A296" t="s">
        <v>1271</v>
      </c>
      <c r="B296" s="1" t="d">
        <v>2024-12-18</v>
      </c>
      <c r="C296" t="s">
        <v>1272</v>
      </c>
      <c r="D296" t="s">
        <v>25</v>
      </c>
      <c r="E296" t="s">
        <v>1273</v>
      </c>
      <c r="F296" t="s">
        <v>27</v>
      </c>
      <c r="G296" t="s">
        <v>1274</v>
      </c>
      <c r="H296">
        <v>2299</v>
      </c>
      <c r="I296">
        <v>1</v>
      </c>
      <c r="J296">
        <v>2299</v>
      </c>
      <c r="K296" s="2" t="d">
        <v>2020-12-01</v>
      </c>
      <c r="L296">
        <v>20</v>
      </c>
      <c r="M296" t="s">
        <v>64</v>
      </c>
      <c r="N296" t="s">
        <v>30</v>
      </c>
      <c r="O296" t="s">
        <v>167</v>
      </c>
      <c r="P296" t="s">
        <v>151</v>
      </c>
      <c r="Q296" t="s">
        <v>31</v>
      </c>
      <c r="R296" s="1" t="d">
        <v>2025-01-07</v>
      </c>
      <c r="S296" t="s">
        <v>33</v>
      </c>
      <c r="T296" t="s">
        <v>46</v>
      </c>
      <c r="U296" t="s">
        <v>138</v>
      </c>
      <c r="V296" s="1" t="d">
        <v>2025-02-03</v>
      </c>
      <c r="W296" t="s">
        <v>48</v>
      </c>
    </row>
    <row r="297" spans="1:23">
      <c r="A297" t="s">
        <v>1275</v>
      </c>
      <c r="B297" s="1" t="d">
        <v>2024-12-18</v>
      </c>
      <c r="C297" t="s">
        <v>1276</v>
      </c>
      <c r="D297" t="s">
        <v>25</v>
      </c>
      <c r="E297" t="s">
        <v>1277</v>
      </c>
      <c r="F297" t="s">
        <v>40</v>
      </c>
      <c r="G297" t="s">
        <v>1278</v>
      </c>
      <c r="H297">
        <v>3599</v>
      </c>
      <c r="I297">
        <v>1</v>
      </c>
      <c r="J297">
        <v>3599</v>
      </c>
      <c r="L297">
        <v>0</v>
      </c>
      <c r="M297" t="s">
        <v>43</v>
      </c>
      <c r="N297" t="s">
        <v>44</v>
      </c>
      <c r="O297" t="s">
        <v>172</v>
      </c>
      <c r="P297" t="s">
        <v>32</v>
      </c>
      <c r="Q297" t="s">
        <v>31</v>
      </c>
      <c r="R297" s="1" t="d">
        <v>2025-01-08</v>
      </c>
      <c r="S297" t="s">
        <v>33</v>
      </c>
      <c r="T297" t="s">
        <v>34</v>
      </c>
      <c r="W297" t="s">
        <v>35</v>
      </c>
    </row>
    <row r="298" spans="1:23">
      <c r="A298" t="s">
        <v>1279</v>
      </c>
      <c r="B298" s="1" t="d">
        <v>2024-12-18</v>
      </c>
      <c r="C298" t="s">
        <v>1280</v>
      </c>
      <c r="D298" t="s">
        <v>25</v>
      </c>
      <c r="E298" t="s">
        <v>1281</v>
      </c>
      <c r="F298" t="s">
        <v>53</v>
      </c>
      <c r="G298" t="s">
        <v>1282</v>
      </c>
      <c r="H298">
        <v>2499</v>
      </c>
      <c r="I298">
        <v>1</v>
      </c>
      <c r="J298">
        <v>2499</v>
      </c>
      <c r="L298">
        <v>0</v>
      </c>
      <c r="M298" t="s">
        <v>29</v>
      </c>
      <c r="N298" t="s">
        <v>65</v>
      </c>
      <c r="O298" t="s">
        <v>177</v>
      </c>
      <c r="P298" t="s">
        <v>67</v>
      </c>
      <c r="Q298" t="s">
        <v>56</v>
      </c>
      <c r="R298" s="1" t="d">
        <v>2025-01-08</v>
      </c>
      <c r="S298" t="s">
        <v>33</v>
      </c>
      <c r="T298" t="s">
        <v>46</v>
      </c>
      <c r="U298" t="s">
        <v>47</v>
      </c>
      <c r="V298" s="1" t="d">
        <v>2025-02-05</v>
      </c>
      <c r="W298" t="s">
        <v>48</v>
      </c>
    </row>
    <row r="299" spans="1:23">
      <c r="A299" t="s">
        <v>1283</v>
      </c>
      <c r="B299" s="1" t="d">
        <v>2024-12-19</v>
      </c>
      <c r="C299" t="s">
        <v>1284</v>
      </c>
      <c r="D299" t="s">
        <v>25</v>
      </c>
      <c r="E299" t="s">
        <v>1285</v>
      </c>
      <c r="F299" t="s">
        <v>61</v>
      </c>
      <c r="G299" t="s">
        <v>1286</v>
      </c>
      <c r="H299">
        <v>6799</v>
      </c>
      <c r="I299">
        <v>1</v>
      </c>
      <c r="J299">
        <v>6799</v>
      </c>
      <c r="K299" s="2" t="d">
        <v>2020-12-01</v>
      </c>
      <c r="L299">
        <v>20</v>
      </c>
      <c r="M299" t="s">
        <v>55</v>
      </c>
      <c r="N299" t="s">
        <v>30</v>
      </c>
      <c r="O299" t="s">
        <v>182</v>
      </c>
      <c r="P299" t="s">
        <v>183</v>
      </c>
      <c r="Q299" t="s">
        <v>56</v>
      </c>
      <c r="R299" s="1" t="d">
        <v>2025-01-09</v>
      </c>
      <c r="S299" t="s">
        <v>33</v>
      </c>
      <c r="T299" t="s">
        <v>46</v>
      </c>
      <c r="U299" t="s">
        <v>79</v>
      </c>
      <c r="V299" s="1" t="d">
        <v>2025-02-06</v>
      </c>
      <c r="W299" t="s">
        <v>48</v>
      </c>
    </row>
    <row r="300" spans="1:23">
      <c r="A300" t="s">
        <v>1287</v>
      </c>
      <c r="B300" s="1" t="d">
        <v>2024-12-19</v>
      </c>
      <c r="C300" t="s">
        <v>1288</v>
      </c>
      <c r="D300" t="s">
        <v>38</v>
      </c>
      <c r="E300" t="s">
        <v>1289</v>
      </c>
      <c r="F300" t="s">
        <v>71</v>
      </c>
      <c r="G300" t="s">
        <v>1290</v>
      </c>
      <c r="H300">
        <v>599</v>
      </c>
      <c r="I300">
        <v>3</v>
      </c>
      <c r="J300">
        <v>1797</v>
      </c>
      <c r="L300">
        <v>0</v>
      </c>
      <c r="M300" t="s">
        <v>111</v>
      </c>
      <c r="N300" t="s">
        <v>44</v>
      </c>
      <c r="O300" t="s">
        <v>188</v>
      </c>
      <c r="P300" t="s">
        <v>189</v>
      </c>
      <c r="Q300" t="s">
        <v>56</v>
      </c>
      <c r="R300" s="1" t="d">
        <v>2025-01-08</v>
      </c>
      <c r="S300" t="s">
        <v>33</v>
      </c>
      <c r="T300" t="s">
        <v>34</v>
      </c>
      <c r="W300" t="s">
        <v>35</v>
      </c>
    </row>
    <row r="301" spans="1:23">
      <c r="A301" t="s">
        <v>1291</v>
      </c>
      <c r="B301" s="1" t="d">
        <v>2024-12-19</v>
      </c>
      <c r="C301" t="s">
        <v>1292</v>
      </c>
      <c r="D301" t="s">
        <v>25</v>
      </c>
      <c r="E301" t="s">
        <v>1293</v>
      </c>
      <c r="F301" t="s">
        <v>27</v>
      </c>
      <c r="G301" t="s">
        <v>1294</v>
      </c>
      <c r="H301">
        <v>1899</v>
      </c>
      <c r="I301">
        <v>1</v>
      </c>
      <c r="J301">
        <v>1899</v>
      </c>
      <c r="L301">
        <v>0</v>
      </c>
      <c r="M301" t="s">
        <v>64</v>
      </c>
      <c r="N301" t="s">
        <v>65</v>
      </c>
      <c r="O301" t="s">
        <v>194</v>
      </c>
      <c r="P301" t="s">
        <v>183</v>
      </c>
      <c r="Q301" t="s">
        <v>56</v>
      </c>
      <c r="R301" s="1" t="d">
        <v>2025-01-09</v>
      </c>
      <c r="S301" t="s">
        <v>33</v>
      </c>
      <c r="T301" t="s">
        <v>46</v>
      </c>
      <c r="U301" t="s">
        <v>68</v>
      </c>
      <c r="V301" s="1" t="d">
        <v>2025-02-05</v>
      </c>
      <c r="W301" t="s">
        <v>48</v>
      </c>
    </row>
    <row r="302" spans="1:23">
      <c r="A302" t="s">
        <v>1295</v>
      </c>
      <c r="B302" s="1" t="d">
        <v>2024-12-19</v>
      </c>
      <c r="C302" t="s">
        <v>1296</v>
      </c>
      <c r="D302" t="s">
        <v>25</v>
      </c>
      <c r="E302" t="s">
        <v>1297</v>
      </c>
      <c r="F302" t="s">
        <v>40</v>
      </c>
      <c r="G302" t="s">
        <v>1298</v>
      </c>
      <c r="H302">
        <v>4499</v>
      </c>
      <c r="I302">
        <v>1</v>
      </c>
      <c r="J302">
        <v>4499</v>
      </c>
      <c r="K302" s="2" t="d">
        <v>2020-12-01</v>
      </c>
      <c r="L302">
        <v>20</v>
      </c>
      <c r="M302" t="s">
        <v>43</v>
      </c>
      <c r="N302" t="s">
        <v>30</v>
      </c>
      <c r="O302" t="s">
        <v>199</v>
      </c>
      <c r="P302" t="s">
        <v>57</v>
      </c>
      <c r="Q302" t="s">
        <v>56</v>
      </c>
      <c r="R302" s="1" t="d">
        <v>2025-01-10</v>
      </c>
      <c r="S302" t="s">
        <v>33</v>
      </c>
      <c r="T302" t="s">
        <v>46</v>
      </c>
      <c r="U302" t="s">
        <v>47</v>
      </c>
      <c r="V302" s="1" t="d">
        <v>2025-02-07</v>
      </c>
      <c r="W302" t="s">
        <v>48</v>
      </c>
    </row>
    <row r="303" spans="1:23">
      <c r="A303" t="s">
        <v>1299</v>
      </c>
      <c r="B303" s="1" t="d">
        <v>2024-12-20</v>
      </c>
      <c r="C303" t="s">
        <v>1300</v>
      </c>
      <c r="D303" t="s">
        <v>25</v>
      </c>
      <c r="E303" t="s">
        <v>1301</v>
      </c>
      <c r="F303" t="s">
        <v>53</v>
      </c>
      <c r="G303" t="s">
        <v>1302</v>
      </c>
      <c r="H303">
        <v>2199</v>
      </c>
      <c r="I303">
        <v>1</v>
      </c>
      <c r="J303">
        <v>2199</v>
      </c>
      <c r="L303">
        <v>0</v>
      </c>
      <c r="M303" t="s">
        <v>29</v>
      </c>
      <c r="N303" t="s">
        <v>44</v>
      </c>
      <c r="O303" t="s">
        <v>204</v>
      </c>
      <c r="P303" t="s">
        <v>97</v>
      </c>
      <c r="Q303" t="s">
        <v>31</v>
      </c>
      <c r="R303" s="1" t="d">
        <v>2025-01-10</v>
      </c>
      <c r="S303" t="s">
        <v>33</v>
      </c>
      <c r="T303" t="s">
        <v>34</v>
      </c>
      <c r="W303" t="s">
        <v>35</v>
      </c>
    </row>
    <row r="304" spans="1:23">
      <c r="A304" t="s">
        <v>1303</v>
      </c>
      <c r="B304" s="1" t="d">
        <v>2024-12-20</v>
      </c>
      <c r="C304" t="s">
        <v>1304</v>
      </c>
      <c r="D304" t="s">
        <v>25</v>
      </c>
      <c r="E304" t="s">
        <v>1305</v>
      </c>
      <c r="F304" t="s">
        <v>61</v>
      </c>
      <c r="G304" t="s">
        <v>1306</v>
      </c>
      <c r="H304">
        <v>5199</v>
      </c>
      <c r="I304">
        <v>1</v>
      </c>
      <c r="J304">
        <v>5199</v>
      </c>
      <c r="L304">
        <v>0</v>
      </c>
      <c r="M304" t="s">
        <v>55</v>
      </c>
      <c r="N304" t="s">
        <v>65</v>
      </c>
      <c r="O304" t="s">
        <v>209</v>
      </c>
      <c r="P304" t="s">
        <v>97</v>
      </c>
      <c r="Q304" t="s">
        <v>31</v>
      </c>
      <c r="R304" s="1" t="d">
        <v>2025-01-11</v>
      </c>
      <c r="S304" t="s">
        <v>33</v>
      </c>
      <c r="T304" t="s">
        <v>46</v>
      </c>
      <c r="U304" t="s">
        <v>104</v>
      </c>
      <c r="V304" s="1" t="d">
        <v>2025-02-08</v>
      </c>
      <c r="W304" t="s">
        <v>48</v>
      </c>
    </row>
    <row r="305" spans="1:23">
      <c r="A305" t="s">
        <v>1307</v>
      </c>
      <c r="B305" s="1" t="d">
        <v>2024-12-20</v>
      </c>
      <c r="C305" t="s">
        <v>1308</v>
      </c>
      <c r="D305" t="s">
        <v>38</v>
      </c>
      <c r="E305" t="s">
        <v>1309</v>
      </c>
      <c r="F305" t="s">
        <v>71</v>
      </c>
      <c r="G305" t="s">
        <v>1310</v>
      </c>
      <c r="H305">
        <v>499</v>
      </c>
      <c r="I305">
        <v>2</v>
      </c>
      <c r="J305">
        <v>998</v>
      </c>
      <c r="K305" s="2" t="d">
        <v>2020-12-01</v>
      </c>
      <c r="L305">
        <v>20</v>
      </c>
      <c r="M305" t="s">
        <v>111</v>
      </c>
      <c r="N305" t="s">
        <v>30</v>
      </c>
      <c r="O305" t="s">
        <v>214</v>
      </c>
      <c r="P305" t="s">
        <v>113</v>
      </c>
      <c r="Q305" t="s">
        <v>45</v>
      </c>
      <c r="R305" s="1" t="d">
        <v>2025-01-10</v>
      </c>
      <c r="S305" t="s">
        <v>33</v>
      </c>
      <c r="T305" t="s">
        <v>34</v>
      </c>
      <c r="W305" t="s">
        <v>35</v>
      </c>
    </row>
    <row r="306" spans="1:23">
      <c r="A306" t="s">
        <v>1311</v>
      </c>
      <c r="B306" s="1" t="d">
        <v>2024-12-20</v>
      </c>
      <c r="C306" t="s">
        <v>1312</v>
      </c>
      <c r="D306" t="s">
        <v>25</v>
      </c>
      <c r="E306" t="s">
        <v>1313</v>
      </c>
      <c r="F306" t="s">
        <v>27</v>
      </c>
      <c r="G306" t="s">
        <v>1314</v>
      </c>
      <c r="H306">
        <v>2099</v>
      </c>
      <c r="I306">
        <v>1</v>
      </c>
      <c r="J306">
        <v>2099</v>
      </c>
      <c r="L306">
        <v>0</v>
      </c>
      <c r="M306" t="s">
        <v>64</v>
      </c>
      <c r="N306" t="s">
        <v>44</v>
      </c>
      <c r="O306" t="s">
        <v>31</v>
      </c>
      <c r="P306" t="s">
        <v>32</v>
      </c>
      <c r="Q306" t="s">
        <v>31</v>
      </c>
      <c r="R306" s="1" t="d">
        <v>2025-01-11</v>
      </c>
      <c r="S306" t="s">
        <v>33</v>
      </c>
      <c r="T306" t="s">
        <v>46</v>
      </c>
      <c r="U306" t="s">
        <v>138</v>
      </c>
      <c r="V306" s="1" t="d">
        <v>2025-02-07</v>
      </c>
      <c r="W306" t="s">
        <v>48</v>
      </c>
    </row>
    <row r="307" spans="1:23">
      <c r="A307" t="s">
        <v>1315</v>
      </c>
      <c r="B307" s="1" t="d">
        <v>2024-12-21</v>
      </c>
      <c r="C307" t="s">
        <v>1316</v>
      </c>
      <c r="D307" t="s">
        <v>25</v>
      </c>
      <c r="E307" t="s">
        <v>1317</v>
      </c>
      <c r="F307" t="s">
        <v>40</v>
      </c>
      <c r="G307" t="s">
        <v>1318</v>
      </c>
      <c r="H307">
        <v>3999</v>
      </c>
      <c r="I307">
        <v>1</v>
      </c>
      <c r="J307">
        <v>3999</v>
      </c>
      <c r="L307">
        <v>0</v>
      </c>
      <c r="M307" t="s">
        <v>43</v>
      </c>
      <c r="N307" t="s">
        <v>65</v>
      </c>
      <c r="O307" t="s">
        <v>45</v>
      </c>
      <c r="P307" t="s">
        <v>45</v>
      </c>
      <c r="Q307" t="s">
        <v>45</v>
      </c>
      <c r="R307" s="1" t="d">
        <v>2025-01-12</v>
      </c>
      <c r="S307" t="s">
        <v>33</v>
      </c>
      <c r="T307" t="s">
        <v>46</v>
      </c>
      <c r="U307" t="s">
        <v>47</v>
      </c>
      <c r="V307" s="1" t="d">
        <v>2025-02-09</v>
      </c>
      <c r="W307" t="s">
        <v>48</v>
      </c>
    </row>
    <row r="308" spans="1:23">
      <c r="A308" t="s">
        <v>1319</v>
      </c>
      <c r="B308" s="1" t="d">
        <v>2024-12-21</v>
      </c>
      <c r="C308" t="s">
        <v>1320</v>
      </c>
      <c r="D308" t="s">
        <v>25</v>
      </c>
      <c r="E308" t="s">
        <v>1321</v>
      </c>
      <c r="F308" t="s">
        <v>53</v>
      </c>
      <c r="G308" t="s">
        <v>1322</v>
      </c>
      <c r="H308">
        <v>2399</v>
      </c>
      <c r="I308">
        <v>1</v>
      </c>
      <c r="J308">
        <v>2399</v>
      </c>
      <c r="K308" s="2" t="d">
        <v>2020-12-01</v>
      </c>
      <c r="L308">
        <v>20</v>
      </c>
      <c r="M308" t="s">
        <v>29</v>
      </c>
      <c r="N308" t="s">
        <v>30</v>
      </c>
      <c r="O308" t="s">
        <v>90</v>
      </c>
      <c r="P308" t="s">
        <v>91</v>
      </c>
      <c r="Q308" t="s">
        <v>45</v>
      </c>
      <c r="R308" s="1" t="d">
        <v>2025-01-12</v>
      </c>
      <c r="S308" t="s">
        <v>33</v>
      </c>
      <c r="T308" t="s">
        <v>34</v>
      </c>
      <c r="W308" t="s">
        <v>35</v>
      </c>
    </row>
    <row r="309" spans="1:23">
      <c r="A309" t="s">
        <v>1323</v>
      </c>
      <c r="B309" s="1" t="d">
        <v>2024-12-21</v>
      </c>
      <c r="C309" t="s">
        <v>1324</v>
      </c>
      <c r="D309" t="s">
        <v>25</v>
      </c>
      <c r="E309" t="s">
        <v>1325</v>
      </c>
      <c r="F309" t="s">
        <v>61</v>
      </c>
      <c r="G309" t="s">
        <v>1326</v>
      </c>
      <c r="H309">
        <v>7299</v>
      </c>
      <c r="I309">
        <v>1</v>
      </c>
      <c r="J309">
        <v>7299</v>
      </c>
      <c r="L309">
        <v>0</v>
      </c>
      <c r="M309" t="s">
        <v>55</v>
      </c>
      <c r="N309" t="s">
        <v>44</v>
      </c>
      <c r="O309" t="s">
        <v>66</v>
      </c>
      <c r="P309" t="s">
        <v>67</v>
      </c>
      <c r="Q309" t="s">
        <v>56</v>
      </c>
      <c r="R309" s="1" t="d">
        <v>2025-01-13</v>
      </c>
      <c r="S309" t="s">
        <v>33</v>
      </c>
      <c r="T309" t="s">
        <v>46</v>
      </c>
      <c r="U309" t="s">
        <v>79</v>
      </c>
      <c r="V309" s="1" t="d">
        <v>2025-02-10</v>
      </c>
      <c r="W309" t="s">
        <v>48</v>
      </c>
    </row>
    <row r="310" spans="1:23">
      <c r="A310" t="s">
        <v>1327</v>
      </c>
      <c r="B310" s="1" t="d">
        <v>2024-12-21</v>
      </c>
      <c r="C310" t="s">
        <v>1328</v>
      </c>
      <c r="D310" t="s">
        <v>38</v>
      </c>
      <c r="E310" t="s">
        <v>1329</v>
      </c>
      <c r="F310" t="s">
        <v>71</v>
      </c>
      <c r="G310" t="s">
        <v>1330</v>
      </c>
      <c r="H310">
        <v>899</v>
      </c>
      <c r="I310">
        <v>1</v>
      </c>
      <c r="J310">
        <v>899</v>
      </c>
      <c r="L310">
        <v>0</v>
      </c>
      <c r="M310" t="s">
        <v>111</v>
      </c>
      <c r="N310" t="s">
        <v>65</v>
      </c>
      <c r="O310" t="s">
        <v>77</v>
      </c>
      <c r="P310" t="s">
        <v>78</v>
      </c>
      <c r="Q310" t="s">
        <v>56</v>
      </c>
      <c r="R310" s="1" t="d">
        <v>2025-01-12</v>
      </c>
      <c r="S310" t="s">
        <v>33</v>
      </c>
      <c r="T310" t="s">
        <v>46</v>
      </c>
      <c r="U310" t="s">
        <v>68</v>
      </c>
      <c r="V310" s="1" t="d">
        <v>2025-02-08</v>
      </c>
      <c r="W310" t="s">
        <v>48</v>
      </c>
    </row>
    <row r="311" spans="1:23">
      <c r="A311" t="s">
        <v>1331</v>
      </c>
      <c r="B311" s="1" t="d">
        <v>2024-12-22</v>
      </c>
      <c r="C311" t="s">
        <v>1332</v>
      </c>
      <c r="D311" t="s">
        <v>25</v>
      </c>
      <c r="E311" t="s">
        <v>1333</v>
      </c>
      <c r="F311" t="s">
        <v>27</v>
      </c>
      <c r="G311" t="s">
        <v>1334</v>
      </c>
      <c r="H311">
        <v>1999</v>
      </c>
      <c r="I311">
        <v>1</v>
      </c>
      <c r="J311">
        <v>1999</v>
      </c>
      <c r="K311" s="2" t="d">
        <v>2020-12-01</v>
      </c>
      <c r="L311">
        <v>20</v>
      </c>
      <c r="M311" t="s">
        <v>64</v>
      </c>
      <c r="N311" t="s">
        <v>30</v>
      </c>
      <c r="O311" t="s">
        <v>84</v>
      </c>
      <c r="P311" t="s">
        <v>32</v>
      </c>
      <c r="Q311" t="s">
        <v>31</v>
      </c>
      <c r="R311" s="1" t="d">
        <v>2025-01-13</v>
      </c>
      <c r="S311" t="s">
        <v>33</v>
      </c>
      <c r="T311" t="s">
        <v>34</v>
      </c>
      <c r="W311" t="s">
        <v>35</v>
      </c>
    </row>
    <row r="312" spans="1:23">
      <c r="A312" t="s">
        <v>1335</v>
      </c>
      <c r="B312" s="1" t="d">
        <v>2024-12-22</v>
      </c>
      <c r="C312" t="s">
        <v>1336</v>
      </c>
      <c r="D312" t="s">
        <v>25</v>
      </c>
      <c r="E312" t="s">
        <v>1337</v>
      </c>
      <c r="F312" t="s">
        <v>40</v>
      </c>
      <c r="G312" t="s">
        <v>1338</v>
      </c>
      <c r="H312">
        <v>4699</v>
      </c>
      <c r="I312">
        <v>1</v>
      </c>
      <c r="J312">
        <v>4699</v>
      </c>
      <c r="L312">
        <v>0</v>
      </c>
      <c r="M312" t="s">
        <v>43</v>
      </c>
      <c r="N312" t="s">
        <v>44</v>
      </c>
      <c r="O312" t="s">
        <v>96</v>
      </c>
      <c r="P312" t="s">
        <v>97</v>
      </c>
      <c r="Q312" t="s">
        <v>31</v>
      </c>
      <c r="R312" s="1" t="d">
        <v>2025-01-14</v>
      </c>
      <c r="S312" t="s">
        <v>33</v>
      </c>
      <c r="T312" t="s">
        <v>46</v>
      </c>
      <c r="U312" t="s">
        <v>47</v>
      </c>
      <c r="V312" s="1" t="d">
        <v>2025-02-11</v>
      </c>
      <c r="W312" t="s">
        <v>48</v>
      </c>
    </row>
    <row r="313" spans="1:23">
      <c r="A313" t="s">
        <v>1339</v>
      </c>
      <c r="B313" s="1" t="d">
        <v>2024-12-22</v>
      </c>
      <c r="C313" t="s">
        <v>1340</v>
      </c>
      <c r="D313" t="s">
        <v>25</v>
      </c>
      <c r="E313" t="s">
        <v>1341</v>
      </c>
      <c r="F313" t="s">
        <v>53</v>
      </c>
      <c r="G313" t="s">
        <v>1342</v>
      </c>
      <c r="H313">
        <v>2299</v>
      </c>
      <c r="I313">
        <v>1</v>
      </c>
      <c r="J313">
        <v>2299</v>
      </c>
      <c r="L313">
        <v>0</v>
      </c>
      <c r="M313" t="s">
        <v>29</v>
      </c>
      <c r="N313" t="s">
        <v>65</v>
      </c>
      <c r="O313" t="s">
        <v>102</v>
      </c>
      <c r="P313" t="s">
        <v>103</v>
      </c>
      <c r="Q313" t="s">
        <v>45</v>
      </c>
      <c r="R313" s="1" t="d">
        <v>2025-01-14</v>
      </c>
      <c r="S313" t="s">
        <v>33</v>
      </c>
      <c r="T313" t="s">
        <v>34</v>
      </c>
      <c r="W313" t="s">
        <v>35</v>
      </c>
    </row>
    <row r="314" spans="1:23">
      <c r="A314" t="s">
        <v>1343</v>
      </c>
      <c r="B314" s="1" t="d">
        <v>2024-12-22</v>
      </c>
      <c r="C314" t="s">
        <v>1344</v>
      </c>
      <c r="D314" t="s">
        <v>25</v>
      </c>
      <c r="E314" t="s">
        <v>1345</v>
      </c>
      <c r="F314" t="s">
        <v>61</v>
      </c>
      <c r="G314" t="s">
        <v>1346</v>
      </c>
      <c r="H314">
        <v>5399</v>
      </c>
      <c r="I314">
        <v>1</v>
      </c>
      <c r="J314">
        <v>5399</v>
      </c>
      <c r="K314" s="2" t="d">
        <v>2020-12-01</v>
      </c>
      <c r="L314">
        <v>20</v>
      </c>
      <c r="M314" t="s">
        <v>55</v>
      </c>
      <c r="N314" t="s">
        <v>30</v>
      </c>
      <c r="O314" t="s">
        <v>112</v>
      </c>
      <c r="P314" t="s">
        <v>113</v>
      </c>
      <c r="Q314" t="s">
        <v>45</v>
      </c>
      <c r="R314" s="1" t="d">
        <v>2025-01-15</v>
      </c>
      <c r="S314" t="s">
        <v>33</v>
      </c>
      <c r="T314" t="s">
        <v>46</v>
      </c>
      <c r="U314" t="s">
        <v>104</v>
      </c>
      <c r="V314" s="1" t="d">
        <v>2025-02-12</v>
      </c>
      <c r="W314" t="s">
        <v>48</v>
      </c>
    </row>
    <row r="315" spans="1:23">
      <c r="A315" t="s">
        <v>1347</v>
      </c>
      <c r="B315" s="1" t="d">
        <v>2024-12-23</v>
      </c>
      <c r="C315" t="s">
        <v>1348</v>
      </c>
      <c r="D315" t="s">
        <v>38</v>
      </c>
      <c r="E315" t="s">
        <v>1349</v>
      </c>
      <c r="F315" t="s">
        <v>71</v>
      </c>
      <c r="G315" t="s">
        <v>1350</v>
      </c>
      <c r="H315">
        <v>1199</v>
      </c>
      <c r="I315">
        <v>1</v>
      </c>
      <c r="J315">
        <v>1199</v>
      </c>
      <c r="L315">
        <v>0</v>
      </c>
      <c r="M315" t="s">
        <v>111</v>
      </c>
      <c r="N315" t="s">
        <v>44</v>
      </c>
      <c r="O315" t="s">
        <v>56</v>
      </c>
      <c r="P315" t="s">
        <v>57</v>
      </c>
      <c r="Q315" t="s">
        <v>56</v>
      </c>
      <c r="R315" s="1" t="d">
        <v>2025-01-14</v>
      </c>
      <c r="S315" t="s">
        <v>33</v>
      </c>
      <c r="T315" t="s">
        <v>34</v>
      </c>
      <c r="W315" t="s">
        <v>35</v>
      </c>
    </row>
    <row r="316" spans="1:23">
      <c r="A316" t="s">
        <v>1351</v>
      </c>
      <c r="B316" s="1" t="d">
        <v>2024-12-23</v>
      </c>
      <c r="C316" t="s">
        <v>1352</v>
      </c>
      <c r="D316" t="s">
        <v>25</v>
      </c>
      <c r="E316" t="s">
        <v>1353</v>
      </c>
      <c r="F316" t="s">
        <v>27</v>
      </c>
      <c r="G316" t="s">
        <v>1354</v>
      </c>
      <c r="H316">
        <v>2199</v>
      </c>
      <c r="I316">
        <v>1</v>
      </c>
      <c r="J316">
        <v>2199</v>
      </c>
      <c r="L316">
        <v>0</v>
      </c>
      <c r="M316" t="s">
        <v>64</v>
      </c>
      <c r="N316" t="s">
        <v>65</v>
      </c>
      <c r="O316" t="s">
        <v>31</v>
      </c>
      <c r="P316" t="s">
        <v>32</v>
      </c>
      <c r="Q316" t="s">
        <v>31</v>
      </c>
      <c r="R316" s="1" t="d">
        <v>2025-01-15</v>
      </c>
      <c r="S316" t="s">
        <v>33</v>
      </c>
      <c r="T316" t="s">
        <v>46</v>
      </c>
      <c r="U316" t="s">
        <v>138</v>
      </c>
      <c r="V316" s="1" t="d">
        <v>2025-02-11</v>
      </c>
      <c r="W316" t="s">
        <v>48</v>
      </c>
    </row>
    <row r="317" spans="1:23">
      <c r="A317" t="s">
        <v>1355</v>
      </c>
      <c r="B317" s="1" t="d">
        <v>2024-12-23</v>
      </c>
      <c r="C317" t="s">
        <v>1356</v>
      </c>
      <c r="D317" t="s">
        <v>25</v>
      </c>
      <c r="E317" t="s">
        <v>1357</v>
      </c>
      <c r="F317" t="s">
        <v>40</v>
      </c>
      <c r="G317" t="s">
        <v>1358</v>
      </c>
      <c r="H317">
        <v>3799</v>
      </c>
      <c r="I317">
        <v>1</v>
      </c>
      <c r="J317">
        <v>3799</v>
      </c>
      <c r="K317" s="2" t="d">
        <v>2020-12-01</v>
      </c>
      <c r="L317">
        <v>20</v>
      </c>
      <c r="M317" t="s">
        <v>43</v>
      </c>
      <c r="N317" t="s">
        <v>30</v>
      </c>
      <c r="O317" t="s">
        <v>45</v>
      </c>
      <c r="P317" t="s">
        <v>45</v>
      </c>
      <c r="Q317" t="s">
        <v>45</v>
      </c>
      <c r="R317" s="1" t="d">
        <v>2025-01-16</v>
      </c>
      <c r="S317" t="s">
        <v>33</v>
      </c>
      <c r="T317" t="s">
        <v>46</v>
      </c>
      <c r="U317" t="s">
        <v>47</v>
      </c>
      <c r="V317" s="1" t="d">
        <v>2025-02-13</v>
      </c>
      <c r="W317" t="s">
        <v>48</v>
      </c>
    </row>
    <row r="318" spans="1:23">
      <c r="A318" t="s">
        <v>1359</v>
      </c>
      <c r="B318" s="1" t="d">
        <v>2024-12-23</v>
      </c>
      <c r="C318" t="s">
        <v>1360</v>
      </c>
      <c r="D318" t="s">
        <v>25</v>
      </c>
      <c r="E318" t="s">
        <v>1361</v>
      </c>
      <c r="F318" t="s">
        <v>53</v>
      </c>
      <c r="G318" t="s">
        <v>1362</v>
      </c>
      <c r="H318">
        <v>2499</v>
      </c>
      <c r="I318">
        <v>1</v>
      </c>
      <c r="J318">
        <v>2499</v>
      </c>
      <c r="L318">
        <v>0</v>
      </c>
      <c r="M318" t="s">
        <v>29</v>
      </c>
      <c r="N318" t="s">
        <v>44</v>
      </c>
      <c r="O318" t="s">
        <v>118</v>
      </c>
      <c r="P318" t="s">
        <v>119</v>
      </c>
      <c r="Q318" t="s">
        <v>45</v>
      </c>
      <c r="R318" s="1" t="d">
        <v>2025-01-16</v>
      </c>
      <c r="S318" t="s">
        <v>33</v>
      </c>
      <c r="T318" t="s">
        <v>34</v>
      </c>
      <c r="W318" t="s">
        <v>35</v>
      </c>
    </row>
    <row r="319" spans="1:23">
      <c r="A319" t="s">
        <v>1363</v>
      </c>
      <c r="B319" s="1" t="d">
        <v>2024-12-24</v>
      </c>
      <c r="C319" t="s">
        <v>1364</v>
      </c>
      <c r="D319" t="s">
        <v>25</v>
      </c>
      <c r="E319" t="s">
        <v>1365</v>
      </c>
      <c r="F319" t="s">
        <v>61</v>
      </c>
      <c r="G319" t="s">
        <v>1366</v>
      </c>
      <c r="H319">
        <v>6499</v>
      </c>
      <c r="I319">
        <v>1</v>
      </c>
      <c r="J319">
        <v>6499</v>
      </c>
      <c r="L319">
        <v>0</v>
      </c>
      <c r="M319" t="s">
        <v>55</v>
      </c>
      <c r="N319" t="s">
        <v>65</v>
      </c>
      <c r="O319" t="s">
        <v>137</v>
      </c>
      <c r="P319" t="s">
        <v>113</v>
      </c>
      <c r="Q319" t="s">
        <v>45</v>
      </c>
      <c r="R319" s="1" t="d">
        <v>2025-01-17</v>
      </c>
      <c r="S319" t="s">
        <v>33</v>
      </c>
      <c r="T319" t="s">
        <v>46</v>
      </c>
      <c r="U319" t="s">
        <v>79</v>
      </c>
      <c r="V319" s="1" t="d">
        <v>2025-02-14</v>
      </c>
      <c r="W319" t="s">
        <v>48</v>
      </c>
    </row>
    <row r="320" spans="1:23">
      <c r="A320" t="s">
        <v>1367</v>
      </c>
      <c r="B320" s="1" t="d">
        <v>2024-12-24</v>
      </c>
      <c r="C320" t="s">
        <v>1368</v>
      </c>
      <c r="D320" t="s">
        <v>38</v>
      </c>
      <c r="E320" t="s">
        <v>1369</v>
      </c>
      <c r="F320" t="s">
        <v>71</v>
      </c>
      <c r="G320" t="s">
        <v>1370</v>
      </c>
      <c r="H320">
        <v>499</v>
      </c>
      <c r="I320">
        <v>3</v>
      </c>
      <c r="J320">
        <v>1497</v>
      </c>
      <c r="K320" s="2" t="d">
        <v>2020-12-01</v>
      </c>
      <c r="L320">
        <v>20</v>
      </c>
      <c r="M320" t="s">
        <v>111</v>
      </c>
      <c r="N320" t="s">
        <v>30</v>
      </c>
      <c r="O320" t="s">
        <v>143</v>
      </c>
      <c r="P320" t="s">
        <v>144</v>
      </c>
      <c r="Q320" t="s">
        <v>45</v>
      </c>
      <c r="R320" s="1" t="d">
        <v>2025-01-16</v>
      </c>
      <c r="S320" t="s">
        <v>33</v>
      </c>
      <c r="T320" t="s">
        <v>34</v>
      </c>
      <c r="W320" t="s">
        <v>35</v>
      </c>
    </row>
    <row r="321" spans="1:23">
      <c r="A321" t="s">
        <v>1371</v>
      </c>
      <c r="B321" s="1" t="d">
        <v>2024-12-24</v>
      </c>
      <c r="C321" t="s">
        <v>1372</v>
      </c>
      <c r="D321" t="s">
        <v>25</v>
      </c>
      <c r="E321" t="s">
        <v>1373</v>
      </c>
      <c r="F321" t="s">
        <v>27</v>
      </c>
      <c r="G321" t="s">
        <v>1374</v>
      </c>
      <c r="H321">
        <v>1799</v>
      </c>
      <c r="I321">
        <v>1</v>
      </c>
      <c r="J321">
        <v>1799</v>
      </c>
      <c r="L321">
        <v>0</v>
      </c>
      <c r="M321" t="s">
        <v>64</v>
      </c>
      <c r="N321" t="s">
        <v>44</v>
      </c>
      <c r="O321" t="s">
        <v>150</v>
      </c>
      <c r="P321" t="s">
        <v>151</v>
      </c>
      <c r="Q321" t="s">
        <v>31</v>
      </c>
      <c r="R321" s="1" t="d">
        <v>2025-01-17</v>
      </c>
      <c r="S321" t="s">
        <v>33</v>
      </c>
      <c r="T321" t="s">
        <v>46</v>
      </c>
      <c r="U321" t="s">
        <v>68</v>
      </c>
      <c r="V321" s="1" t="d">
        <v>2025-02-13</v>
      </c>
      <c r="W321" t="s">
        <v>48</v>
      </c>
    </row>
    <row r="322" spans="1:23">
      <c r="A322" t="s">
        <v>1375</v>
      </c>
      <c r="B322" s="1" t="d">
        <v>2024-12-24</v>
      </c>
      <c r="C322" t="s">
        <v>1376</v>
      </c>
      <c r="D322" t="s">
        <v>25</v>
      </c>
      <c r="E322" t="s">
        <v>1377</v>
      </c>
      <c r="F322" t="s">
        <v>40</v>
      </c>
      <c r="G322" t="s">
        <v>1378</v>
      </c>
      <c r="H322">
        <v>4299</v>
      </c>
      <c r="I322">
        <v>1</v>
      </c>
      <c r="J322">
        <v>4299</v>
      </c>
      <c r="L322">
        <v>0</v>
      </c>
      <c r="M322" t="s">
        <v>43</v>
      </c>
      <c r="N322" t="s">
        <v>65</v>
      </c>
      <c r="O322" t="s">
        <v>156</v>
      </c>
      <c r="P322" t="s">
        <v>97</v>
      </c>
      <c r="Q322" t="s">
        <v>31</v>
      </c>
      <c r="R322" s="1" t="d">
        <v>2025-01-18</v>
      </c>
      <c r="S322" t="s">
        <v>33</v>
      </c>
      <c r="T322" t="s">
        <v>46</v>
      </c>
      <c r="U322" t="s">
        <v>47</v>
      </c>
      <c r="V322" s="1" t="d">
        <v>2025-02-15</v>
      </c>
      <c r="W322" t="s">
        <v>48</v>
      </c>
    </row>
    <row r="323" spans="1:23">
      <c r="A323" t="s">
        <v>1379</v>
      </c>
      <c r="B323" s="1" t="d">
        <v>2024-12-25</v>
      </c>
      <c r="C323" t="s">
        <v>1380</v>
      </c>
      <c r="D323" t="s">
        <v>25</v>
      </c>
      <c r="E323" t="s">
        <v>1381</v>
      </c>
      <c r="F323" t="s">
        <v>53</v>
      </c>
      <c r="G323" t="s">
        <v>1382</v>
      </c>
      <c r="H323">
        <v>1899</v>
      </c>
      <c r="I323">
        <v>1</v>
      </c>
      <c r="J323">
        <v>1899</v>
      </c>
      <c r="K323" s="2" t="d">
        <v>2020-12-01</v>
      </c>
      <c r="L323">
        <v>20</v>
      </c>
      <c r="M323" t="s">
        <v>29</v>
      </c>
      <c r="N323" t="s">
        <v>30</v>
      </c>
      <c r="O323" t="s">
        <v>161</v>
      </c>
      <c r="P323" t="s">
        <v>162</v>
      </c>
      <c r="Q323" t="s">
        <v>45</v>
      </c>
      <c r="R323" s="1" t="d">
        <v>2025-01-18</v>
      </c>
      <c r="S323" t="s">
        <v>33</v>
      </c>
      <c r="T323" t="s">
        <v>34</v>
      </c>
      <c r="W323" t="s">
        <v>35</v>
      </c>
    </row>
    <row r="324" spans="1:23">
      <c r="A324" t="s">
        <v>1383</v>
      </c>
      <c r="B324" s="1" t="d">
        <v>2024-12-25</v>
      </c>
      <c r="C324" t="s">
        <v>1384</v>
      </c>
      <c r="D324" t="s">
        <v>25</v>
      </c>
      <c r="E324" t="s">
        <v>1385</v>
      </c>
      <c r="F324" t="s">
        <v>61</v>
      </c>
      <c r="G324" t="s">
        <v>1386</v>
      </c>
      <c r="H324">
        <v>4999</v>
      </c>
      <c r="I324">
        <v>1</v>
      </c>
      <c r="J324">
        <v>4999</v>
      </c>
      <c r="L324">
        <v>0</v>
      </c>
      <c r="M324" t="s">
        <v>55</v>
      </c>
      <c r="N324" t="s">
        <v>44</v>
      </c>
      <c r="O324" t="s">
        <v>167</v>
      </c>
      <c r="P324" t="s">
        <v>151</v>
      </c>
      <c r="Q324" t="s">
        <v>31</v>
      </c>
      <c r="R324" s="1" t="d">
        <v>2025-01-19</v>
      </c>
      <c r="S324" t="s">
        <v>33</v>
      </c>
      <c r="T324" t="s">
        <v>46</v>
      </c>
      <c r="U324" t="s">
        <v>104</v>
      </c>
      <c r="V324" s="1" t="d">
        <v>2025-02-16</v>
      </c>
      <c r="W324" t="s">
        <v>48</v>
      </c>
    </row>
    <row r="325" spans="1:23">
      <c r="A325" t="s">
        <v>1387</v>
      </c>
      <c r="B325" s="1" t="d">
        <v>2024-12-25</v>
      </c>
      <c r="C325" t="s">
        <v>1388</v>
      </c>
      <c r="D325" t="s">
        <v>38</v>
      </c>
      <c r="E325" t="s">
        <v>1389</v>
      </c>
      <c r="F325" t="s">
        <v>71</v>
      </c>
      <c r="G325" t="s">
        <v>1390</v>
      </c>
      <c r="H325">
        <v>1399</v>
      </c>
      <c r="I325">
        <v>1</v>
      </c>
      <c r="J325">
        <v>1399</v>
      </c>
      <c r="L325">
        <v>0</v>
      </c>
      <c r="M325" t="s">
        <v>111</v>
      </c>
      <c r="N325" t="s">
        <v>65</v>
      </c>
      <c r="O325" t="s">
        <v>172</v>
      </c>
      <c r="P325" t="s">
        <v>32</v>
      </c>
      <c r="Q325" t="s">
        <v>31</v>
      </c>
      <c r="R325" s="1" t="d">
        <v>2025-01-18</v>
      </c>
      <c r="S325" t="s">
        <v>33</v>
      </c>
      <c r="T325" t="s">
        <v>34</v>
      </c>
      <c r="W325" t="s">
        <v>35</v>
      </c>
    </row>
    <row r="326" spans="1:23">
      <c r="A326" t="s">
        <v>1391</v>
      </c>
      <c r="B326" s="1" t="d">
        <v>2024-12-25</v>
      </c>
      <c r="C326" t="s">
        <v>1392</v>
      </c>
      <c r="D326" t="s">
        <v>25</v>
      </c>
      <c r="E326" t="s">
        <v>1393</v>
      </c>
      <c r="F326" t="s">
        <v>27</v>
      </c>
      <c r="G326" t="s">
        <v>1394</v>
      </c>
      <c r="H326">
        <v>2099</v>
      </c>
      <c r="I326">
        <v>1</v>
      </c>
      <c r="J326">
        <v>2099</v>
      </c>
      <c r="K326" s="2" t="d">
        <v>2020-12-01</v>
      </c>
      <c r="L326">
        <v>20</v>
      </c>
      <c r="M326" t="s">
        <v>64</v>
      </c>
      <c r="N326" t="s">
        <v>30</v>
      </c>
      <c r="O326" t="s">
        <v>177</v>
      </c>
      <c r="P326" t="s">
        <v>67</v>
      </c>
      <c r="Q326" t="s">
        <v>56</v>
      </c>
      <c r="R326" s="1" t="d">
        <v>2025-01-19</v>
      </c>
      <c r="S326" t="s">
        <v>33</v>
      </c>
      <c r="T326" t="s">
        <v>46</v>
      </c>
      <c r="U326" t="s">
        <v>138</v>
      </c>
      <c r="V326" s="1" t="d">
        <v>2025-02-15</v>
      </c>
      <c r="W326" t="s">
        <v>48</v>
      </c>
    </row>
    <row r="327" spans="1:23">
      <c r="A327" t="s">
        <v>1395</v>
      </c>
      <c r="B327" s="1" t="d">
        <v>2024-12-26</v>
      </c>
      <c r="C327" t="s">
        <v>1396</v>
      </c>
      <c r="D327" t="s">
        <v>25</v>
      </c>
      <c r="E327" t="s">
        <v>1397</v>
      </c>
      <c r="F327" t="s">
        <v>40</v>
      </c>
      <c r="G327" t="s">
        <v>1398</v>
      </c>
      <c r="H327">
        <v>2999</v>
      </c>
      <c r="I327">
        <v>1</v>
      </c>
      <c r="J327">
        <v>2999</v>
      </c>
      <c r="L327">
        <v>0</v>
      </c>
      <c r="M327" t="s">
        <v>43</v>
      </c>
      <c r="N327" t="s">
        <v>44</v>
      </c>
      <c r="O327" t="s">
        <v>182</v>
      </c>
      <c r="P327" t="s">
        <v>183</v>
      </c>
      <c r="Q327" t="s">
        <v>56</v>
      </c>
      <c r="R327" s="1" t="d">
        <v>2025-01-20</v>
      </c>
      <c r="S327" t="s">
        <v>33</v>
      </c>
      <c r="T327" t="s">
        <v>46</v>
      </c>
      <c r="U327" t="s">
        <v>47</v>
      </c>
      <c r="V327" s="1" t="d">
        <v>2025-02-17</v>
      </c>
      <c r="W327" t="s">
        <v>48</v>
      </c>
    </row>
    <row r="328" spans="1:23">
      <c r="A328" t="s">
        <v>1399</v>
      </c>
      <c r="B328" s="1" t="d">
        <v>2024-12-26</v>
      </c>
      <c r="C328" t="s">
        <v>1400</v>
      </c>
      <c r="D328" t="s">
        <v>25</v>
      </c>
      <c r="E328" t="s">
        <v>1401</v>
      </c>
      <c r="F328" t="s">
        <v>53</v>
      </c>
      <c r="G328" t="s">
        <v>1402</v>
      </c>
      <c r="H328">
        <v>2199</v>
      </c>
      <c r="I328">
        <v>1</v>
      </c>
      <c r="J328">
        <v>2199</v>
      </c>
      <c r="L328">
        <v>0</v>
      </c>
      <c r="M328" t="s">
        <v>29</v>
      </c>
      <c r="N328" t="s">
        <v>65</v>
      </c>
      <c r="O328" t="s">
        <v>188</v>
      </c>
      <c r="P328" t="s">
        <v>189</v>
      </c>
      <c r="Q328" t="s">
        <v>56</v>
      </c>
      <c r="R328" s="1" t="d">
        <v>2025-01-20</v>
      </c>
      <c r="S328" t="s">
        <v>33</v>
      </c>
      <c r="T328" t="s">
        <v>34</v>
      </c>
      <c r="W328" t="s">
        <v>35</v>
      </c>
    </row>
    <row r="329" spans="1:23">
      <c r="A329" t="s">
        <v>1403</v>
      </c>
      <c r="B329" s="1" t="d">
        <v>2024-12-26</v>
      </c>
      <c r="C329" t="s">
        <v>1404</v>
      </c>
      <c r="D329" t="s">
        <v>25</v>
      </c>
      <c r="E329" t="s">
        <v>1405</v>
      </c>
      <c r="F329" t="s">
        <v>61</v>
      </c>
      <c r="G329" t="s">
        <v>1406</v>
      </c>
      <c r="H329">
        <v>5999</v>
      </c>
      <c r="I329">
        <v>1</v>
      </c>
      <c r="J329">
        <v>5999</v>
      </c>
      <c r="K329" s="2" t="d">
        <v>2020-12-01</v>
      </c>
      <c r="L329">
        <v>20</v>
      </c>
      <c r="M329" t="s">
        <v>55</v>
      </c>
      <c r="N329" t="s">
        <v>30</v>
      </c>
      <c r="O329" t="s">
        <v>194</v>
      </c>
      <c r="P329" t="s">
        <v>183</v>
      </c>
      <c r="Q329" t="s">
        <v>56</v>
      </c>
      <c r="R329" s="1" t="d">
        <v>2025-01-21</v>
      </c>
      <c r="S329" t="s">
        <v>33</v>
      </c>
      <c r="T329" t="s">
        <v>46</v>
      </c>
      <c r="U329" t="s">
        <v>79</v>
      </c>
      <c r="V329" s="1" t="d">
        <v>2025-02-18</v>
      </c>
      <c r="W329" t="s">
        <v>48</v>
      </c>
    </row>
    <row r="330" spans="1:23">
      <c r="A330" t="s">
        <v>1407</v>
      </c>
      <c r="B330" s="1" t="d">
        <v>2024-12-26</v>
      </c>
      <c r="C330" t="s">
        <v>1408</v>
      </c>
      <c r="D330" t="s">
        <v>38</v>
      </c>
      <c r="E330" t="s">
        <v>1409</v>
      </c>
      <c r="F330" t="s">
        <v>71</v>
      </c>
      <c r="G330" t="s">
        <v>1410</v>
      </c>
      <c r="H330">
        <v>1299</v>
      </c>
      <c r="I330">
        <v>1</v>
      </c>
      <c r="J330">
        <v>1299</v>
      </c>
      <c r="L330">
        <v>0</v>
      </c>
      <c r="M330" t="s">
        <v>111</v>
      </c>
      <c r="N330" t="s">
        <v>44</v>
      </c>
      <c r="O330" t="s">
        <v>199</v>
      </c>
      <c r="P330" t="s">
        <v>57</v>
      </c>
      <c r="Q330" t="s">
        <v>56</v>
      </c>
      <c r="R330" s="1" t="d">
        <v>2025-01-20</v>
      </c>
      <c r="S330" t="s">
        <v>33</v>
      </c>
      <c r="T330" t="s">
        <v>46</v>
      </c>
      <c r="U330" t="s">
        <v>68</v>
      </c>
      <c r="V330" s="1" t="d">
        <v>2025-02-16</v>
      </c>
      <c r="W330" t="s">
        <v>48</v>
      </c>
    </row>
    <row r="331" spans="1:23">
      <c r="A331" t="s">
        <v>1411</v>
      </c>
      <c r="B331" s="1" t="d">
        <v>2024-12-27</v>
      </c>
      <c r="C331" t="s">
        <v>1412</v>
      </c>
      <c r="D331" t="s">
        <v>25</v>
      </c>
      <c r="E331" t="s">
        <v>1413</v>
      </c>
      <c r="F331" t="s">
        <v>27</v>
      </c>
      <c r="G331" t="s">
        <v>1414</v>
      </c>
      <c r="H331">
        <v>999</v>
      </c>
      <c r="I331">
        <v>2</v>
      </c>
      <c r="J331">
        <v>1998</v>
      </c>
      <c r="L331">
        <v>0</v>
      </c>
      <c r="M331" t="s">
        <v>64</v>
      </c>
      <c r="N331" t="s">
        <v>65</v>
      </c>
      <c r="O331" t="s">
        <v>204</v>
      </c>
      <c r="P331" t="s">
        <v>97</v>
      </c>
      <c r="Q331" t="s">
        <v>31</v>
      </c>
      <c r="R331" s="1" t="d">
        <v>2025-01-21</v>
      </c>
      <c r="S331" t="s">
        <v>33</v>
      </c>
      <c r="T331" t="s">
        <v>34</v>
      </c>
      <c r="W331" t="s">
        <v>35</v>
      </c>
    </row>
    <row r="332" spans="1:23">
      <c r="A332" t="s">
        <v>1415</v>
      </c>
      <c r="B332" s="1" t="d">
        <v>2024-12-27</v>
      </c>
      <c r="C332" t="s">
        <v>1416</v>
      </c>
      <c r="D332" t="s">
        <v>25</v>
      </c>
      <c r="E332" t="s">
        <v>1417</v>
      </c>
      <c r="F332" t="s">
        <v>40</v>
      </c>
      <c r="G332" t="s">
        <v>1418</v>
      </c>
      <c r="H332">
        <v>3499</v>
      </c>
      <c r="I332">
        <v>1</v>
      </c>
      <c r="J332">
        <v>3499</v>
      </c>
      <c r="K332" s="2" t="d">
        <v>2020-12-01</v>
      </c>
      <c r="L332">
        <v>20</v>
      </c>
      <c r="M332" t="s">
        <v>43</v>
      </c>
      <c r="N332" t="s">
        <v>30</v>
      </c>
      <c r="O332" t="s">
        <v>209</v>
      </c>
      <c r="P332" t="s">
        <v>97</v>
      </c>
      <c r="Q332" t="s">
        <v>31</v>
      </c>
      <c r="R332" s="1" t="d">
        <v>2025-01-22</v>
      </c>
      <c r="S332" t="s">
        <v>33</v>
      </c>
      <c r="T332" t="s">
        <v>46</v>
      </c>
      <c r="U332" t="s">
        <v>47</v>
      </c>
      <c r="V332" s="1" t="d">
        <v>2025-02-19</v>
      </c>
      <c r="W332" t="s">
        <v>48</v>
      </c>
    </row>
    <row r="333" spans="1:23">
      <c r="A333" t="s">
        <v>1419</v>
      </c>
      <c r="B333" s="1" t="d">
        <v>2024-12-27</v>
      </c>
      <c r="C333" t="s">
        <v>1420</v>
      </c>
      <c r="D333" t="s">
        <v>25</v>
      </c>
      <c r="E333" t="s">
        <v>1421</v>
      </c>
      <c r="F333" t="s">
        <v>53</v>
      </c>
      <c r="G333" t="s">
        <v>1422</v>
      </c>
      <c r="H333">
        <v>1799</v>
      </c>
      <c r="I333">
        <v>1</v>
      </c>
      <c r="J333">
        <v>1799</v>
      </c>
      <c r="L333">
        <v>0</v>
      </c>
      <c r="M333" t="s">
        <v>29</v>
      </c>
      <c r="N333" t="s">
        <v>44</v>
      </c>
      <c r="O333" t="s">
        <v>214</v>
      </c>
      <c r="P333" t="s">
        <v>113</v>
      </c>
      <c r="Q333" t="s">
        <v>45</v>
      </c>
      <c r="R333" s="1" t="d">
        <v>2025-01-22</v>
      </c>
      <c r="S333" t="s">
        <v>33</v>
      </c>
      <c r="T333" t="s">
        <v>34</v>
      </c>
      <c r="W333" t="s">
        <v>35</v>
      </c>
    </row>
    <row r="334" spans="1:23">
      <c r="A334" t="s">
        <v>1423</v>
      </c>
      <c r="B334" s="1" t="d">
        <v>2024-12-27</v>
      </c>
      <c r="C334" t="s">
        <v>1424</v>
      </c>
      <c r="D334" t="s">
        <v>25</v>
      </c>
      <c r="E334" t="s">
        <v>1425</v>
      </c>
      <c r="F334" t="s">
        <v>61</v>
      </c>
      <c r="G334" t="s">
        <v>1426</v>
      </c>
      <c r="H334">
        <v>4599</v>
      </c>
      <c r="I334">
        <v>1</v>
      </c>
      <c r="J334">
        <v>4599</v>
      </c>
      <c r="L334">
        <v>0</v>
      </c>
      <c r="M334" t="s">
        <v>55</v>
      </c>
      <c r="N334" t="s">
        <v>65</v>
      </c>
      <c r="O334" t="s">
        <v>31</v>
      </c>
      <c r="P334" t="s">
        <v>32</v>
      </c>
      <c r="Q334" t="s">
        <v>31</v>
      </c>
      <c r="R334" s="1" t="d">
        <v>2025-01-23</v>
      </c>
      <c r="S334" t="s">
        <v>33</v>
      </c>
      <c r="T334" t="s">
        <v>46</v>
      </c>
      <c r="U334" t="s">
        <v>104</v>
      </c>
      <c r="V334" s="1" t="d">
        <v>2025-02-20</v>
      </c>
      <c r="W334" t="s">
        <v>48</v>
      </c>
    </row>
    <row r="335" spans="1:23">
      <c r="A335" t="s">
        <v>1427</v>
      </c>
      <c r="B335" s="1" t="d">
        <v>2024-12-28</v>
      </c>
      <c r="C335" t="s">
        <v>1428</v>
      </c>
      <c r="D335" t="s">
        <v>38</v>
      </c>
      <c r="E335" t="s">
        <v>1429</v>
      </c>
      <c r="F335" t="s">
        <v>71</v>
      </c>
      <c r="G335" t="s">
        <v>1430</v>
      </c>
      <c r="H335">
        <v>799</v>
      </c>
      <c r="I335">
        <v>1</v>
      </c>
      <c r="J335">
        <v>799</v>
      </c>
      <c r="K335" s="2" t="d">
        <v>2020-12-01</v>
      </c>
      <c r="L335">
        <v>20</v>
      </c>
      <c r="M335" t="s">
        <v>111</v>
      </c>
      <c r="N335" t="s">
        <v>30</v>
      </c>
      <c r="O335" t="s">
        <v>45</v>
      </c>
      <c r="P335" t="s">
        <v>45</v>
      </c>
      <c r="Q335" t="s">
        <v>45</v>
      </c>
      <c r="R335" s="1" t="d">
        <v>2025-01-22</v>
      </c>
      <c r="S335" t="s">
        <v>33</v>
      </c>
      <c r="T335" t="s">
        <v>34</v>
      </c>
      <c r="W335" t="s">
        <v>35</v>
      </c>
    </row>
    <row r="336" spans="1:23">
      <c r="A336" t="s">
        <v>1431</v>
      </c>
      <c r="B336" s="1" t="d">
        <v>2024-12-28</v>
      </c>
      <c r="C336" t="s">
        <v>1432</v>
      </c>
      <c r="D336" t="s">
        <v>25</v>
      </c>
      <c r="E336" t="s">
        <v>1433</v>
      </c>
      <c r="F336" t="s">
        <v>27</v>
      </c>
      <c r="G336" t="s">
        <v>1434</v>
      </c>
      <c r="H336">
        <v>1899</v>
      </c>
      <c r="I336">
        <v>1</v>
      </c>
      <c r="J336">
        <v>1899</v>
      </c>
      <c r="L336">
        <v>0</v>
      </c>
      <c r="M336" t="s">
        <v>64</v>
      </c>
      <c r="N336" t="s">
        <v>44</v>
      </c>
      <c r="O336" t="s">
        <v>90</v>
      </c>
      <c r="P336" t="s">
        <v>91</v>
      </c>
      <c r="Q336" t="s">
        <v>45</v>
      </c>
      <c r="R336" s="1" t="d">
        <v>2025-01-23</v>
      </c>
      <c r="S336" t="s">
        <v>33</v>
      </c>
      <c r="T336" t="s">
        <v>46</v>
      </c>
      <c r="U336" t="s">
        <v>138</v>
      </c>
      <c r="V336" s="1" t="d">
        <v>2025-02-19</v>
      </c>
      <c r="W336" t="s">
        <v>48</v>
      </c>
    </row>
    <row r="337" spans="1:23">
      <c r="A337" t="s">
        <v>1435</v>
      </c>
      <c r="B337" s="1" t="d">
        <v>2024-12-28</v>
      </c>
      <c r="C337" t="s">
        <v>1436</v>
      </c>
      <c r="D337" t="s">
        <v>25</v>
      </c>
      <c r="E337" t="s">
        <v>1437</v>
      </c>
      <c r="F337" t="s">
        <v>40</v>
      </c>
      <c r="G337" t="s">
        <v>1438</v>
      </c>
      <c r="H337">
        <v>4099</v>
      </c>
      <c r="I337">
        <v>1</v>
      </c>
      <c r="J337">
        <v>4099</v>
      </c>
      <c r="L337">
        <v>0</v>
      </c>
      <c r="M337" t="s">
        <v>43</v>
      </c>
      <c r="N337" t="s">
        <v>65</v>
      </c>
      <c r="O337" t="s">
        <v>66</v>
      </c>
      <c r="P337" t="s">
        <v>67</v>
      </c>
      <c r="Q337" t="s">
        <v>56</v>
      </c>
      <c r="R337" s="1" t="d">
        <v>2025-01-24</v>
      </c>
      <c r="S337" t="s">
        <v>33</v>
      </c>
      <c r="T337" t="s">
        <v>46</v>
      </c>
      <c r="U337" t="s">
        <v>47</v>
      </c>
      <c r="V337" s="1" t="d">
        <v>2025-02-21</v>
      </c>
      <c r="W337" t="s">
        <v>48</v>
      </c>
    </row>
    <row r="338" spans="1:23">
      <c r="A338" t="s">
        <v>1439</v>
      </c>
      <c r="B338" s="1" t="d">
        <v>2024-12-28</v>
      </c>
      <c r="C338" t="s">
        <v>1440</v>
      </c>
      <c r="D338" t="s">
        <v>25</v>
      </c>
      <c r="E338" t="s">
        <v>1441</v>
      </c>
      <c r="F338" t="s">
        <v>53</v>
      </c>
      <c r="G338" t="s">
        <v>1442</v>
      </c>
      <c r="H338">
        <v>2299</v>
      </c>
      <c r="I338">
        <v>1</v>
      </c>
      <c r="J338">
        <v>2299</v>
      </c>
      <c r="K338" s="2" t="d">
        <v>2020-12-01</v>
      </c>
      <c r="L338">
        <v>20</v>
      </c>
      <c r="M338" t="s">
        <v>29</v>
      </c>
      <c r="N338" t="s">
        <v>30</v>
      </c>
      <c r="O338" t="s">
        <v>77</v>
      </c>
      <c r="P338" t="s">
        <v>78</v>
      </c>
      <c r="Q338" t="s">
        <v>56</v>
      </c>
      <c r="R338" s="1" t="d">
        <v>2025-01-24</v>
      </c>
      <c r="S338" t="s">
        <v>33</v>
      </c>
      <c r="T338" t="s">
        <v>34</v>
      </c>
      <c r="W338" t="s">
        <v>35</v>
      </c>
    </row>
    <row r="339" spans="1:23">
      <c r="A339" t="s">
        <v>1443</v>
      </c>
      <c r="B339" s="1" t="d">
        <v>2024-12-29</v>
      </c>
      <c r="C339" t="s">
        <v>1444</v>
      </c>
      <c r="D339" t="s">
        <v>25</v>
      </c>
      <c r="E339" t="s">
        <v>1445</v>
      </c>
      <c r="F339" t="s">
        <v>61</v>
      </c>
      <c r="G339" t="s">
        <v>1446</v>
      </c>
      <c r="H339">
        <v>5799</v>
      </c>
      <c r="I339">
        <v>1</v>
      </c>
      <c r="J339">
        <v>5799</v>
      </c>
      <c r="L339">
        <v>0</v>
      </c>
      <c r="M339" t="s">
        <v>55</v>
      </c>
      <c r="N339" t="s">
        <v>44</v>
      </c>
      <c r="O339" t="s">
        <v>84</v>
      </c>
      <c r="P339" t="s">
        <v>32</v>
      </c>
      <c r="Q339" t="s">
        <v>31</v>
      </c>
      <c r="R339" s="1" t="d">
        <v>2025-01-25</v>
      </c>
      <c r="S339" t="s">
        <v>33</v>
      </c>
      <c r="T339" t="s">
        <v>46</v>
      </c>
      <c r="U339" t="s">
        <v>79</v>
      </c>
      <c r="V339" s="1" t="d">
        <v>2025-02-22</v>
      </c>
      <c r="W339" t="s">
        <v>48</v>
      </c>
    </row>
    <row r="340" spans="1:23">
      <c r="A340" t="s">
        <v>1447</v>
      </c>
      <c r="B340" s="1" t="d">
        <v>2024-12-29</v>
      </c>
      <c r="C340" t="s">
        <v>1448</v>
      </c>
      <c r="D340" t="s">
        <v>38</v>
      </c>
      <c r="E340" t="s">
        <v>1449</v>
      </c>
      <c r="F340" t="s">
        <v>71</v>
      </c>
      <c r="G340" t="s">
        <v>1450</v>
      </c>
      <c r="H340">
        <v>699</v>
      </c>
      <c r="I340">
        <v>2</v>
      </c>
      <c r="J340">
        <v>1398</v>
      </c>
      <c r="L340">
        <v>0</v>
      </c>
      <c r="M340" t="s">
        <v>111</v>
      </c>
      <c r="N340" t="s">
        <v>65</v>
      </c>
      <c r="O340" t="s">
        <v>96</v>
      </c>
      <c r="P340" t="s">
        <v>97</v>
      </c>
      <c r="Q340" t="s">
        <v>31</v>
      </c>
      <c r="R340" s="1" t="d">
        <v>2025-01-24</v>
      </c>
      <c r="S340" t="s">
        <v>33</v>
      </c>
      <c r="T340" t="s">
        <v>46</v>
      </c>
      <c r="U340" t="s">
        <v>68</v>
      </c>
      <c r="V340" s="1" t="d">
        <v>2025-02-20</v>
      </c>
      <c r="W340" t="s">
        <v>48</v>
      </c>
    </row>
    <row r="341" spans="1:23">
      <c r="A341" t="s">
        <v>1451</v>
      </c>
      <c r="B341" s="1" t="d">
        <v>2024-12-29</v>
      </c>
      <c r="C341" t="s">
        <v>1452</v>
      </c>
      <c r="D341" t="s">
        <v>25</v>
      </c>
      <c r="E341" t="s">
        <v>1453</v>
      </c>
      <c r="F341" t="s">
        <v>27</v>
      </c>
      <c r="G341" t="s">
        <v>1454</v>
      </c>
      <c r="H341">
        <v>1999</v>
      </c>
      <c r="I341">
        <v>1</v>
      </c>
      <c r="J341">
        <v>1999</v>
      </c>
      <c r="K341" s="2" t="d">
        <v>2020-12-01</v>
      </c>
      <c r="L341">
        <v>20</v>
      </c>
      <c r="M341" t="s">
        <v>64</v>
      </c>
      <c r="N341" t="s">
        <v>30</v>
      </c>
      <c r="O341" t="s">
        <v>102</v>
      </c>
      <c r="P341" t="s">
        <v>103</v>
      </c>
      <c r="Q341" t="s">
        <v>45</v>
      </c>
      <c r="R341" s="1" t="d">
        <v>2025-01-25</v>
      </c>
      <c r="S341" t="s">
        <v>33</v>
      </c>
      <c r="T341" t="s">
        <v>34</v>
      </c>
      <c r="W341" t="s">
        <v>35</v>
      </c>
    </row>
    <row r="342" spans="1:23">
      <c r="A342" t="s">
        <v>1455</v>
      </c>
      <c r="B342" s="1" t="d">
        <v>2024-12-29</v>
      </c>
      <c r="C342" t="s">
        <v>1452</v>
      </c>
      <c r="D342" t="s">
        <v>25</v>
      </c>
      <c r="E342" t="s">
        <v>1456</v>
      </c>
      <c r="F342" t="s">
        <v>40</v>
      </c>
      <c r="G342" t="s">
        <v>1457</v>
      </c>
      <c r="H342">
        <v>3899</v>
      </c>
      <c r="I342">
        <v>1</v>
      </c>
      <c r="J342">
        <v>3899</v>
      </c>
      <c r="L342">
        <v>0</v>
      </c>
      <c r="M342" t="s">
        <v>43</v>
      </c>
      <c r="N342" t="s">
        <v>44</v>
      </c>
      <c r="O342" t="s">
        <v>112</v>
      </c>
      <c r="P342" t="s">
        <v>113</v>
      </c>
      <c r="Q342" t="s">
        <v>45</v>
      </c>
      <c r="R342" s="1" t="d">
        <v>2025-01-26</v>
      </c>
      <c r="S342" t="s">
        <v>33</v>
      </c>
      <c r="T342" t="s">
        <v>46</v>
      </c>
      <c r="U342" t="s">
        <v>47</v>
      </c>
      <c r="V342" s="1" t="d">
        <v>2025-02-23</v>
      </c>
      <c r="W342" t="s">
        <v>48</v>
      </c>
    </row>
    <row r="343" spans="1:23">
      <c r="A343" t="s">
        <v>1458</v>
      </c>
      <c r="B343" s="1" t="d">
        <v>2024-12-30</v>
      </c>
      <c r="C343" t="s">
        <v>1459</v>
      </c>
      <c r="D343" t="s">
        <v>25</v>
      </c>
      <c r="E343" t="s">
        <v>1460</v>
      </c>
      <c r="F343" t="s">
        <v>53</v>
      </c>
      <c r="G343" t="s">
        <v>1461</v>
      </c>
      <c r="H343">
        <v>2099</v>
      </c>
      <c r="I343">
        <v>1</v>
      </c>
      <c r="J343">
        <v>2099</v>
      </c>
      <c r="L343">
        <v>0</v>
      </c>
      <c r="M343" t="s">
        <v>29</v>
      </c>
      <c r="N343" t="s">
        <v>65</v>
      </c>
      <c r="O343" t="s">
        <v>56</v>
      </c>
      <c r="P343" t="s">
        <v>57</v>
      </c>
      <c r="Q343" t="s">
        <v>56</v>
      </c>
      <c r="R343" s="1" t="d">
        <v>2025-01-26</v>
      </c>
      <c r="S343" t="s">
        <v>33</v>
      </c>
      <c r="T343" t="s">
        <v>34</v>
      </c>
      <c r="W343" t="s">
        <v>35</v>
      </c>
    </row>
    <row r="344" spans="1:23">
      <c r="A344" t="s">
        <v>1462</v>
      </c>
      <c r="B344" s="1" t="d">
        <v>2024-12-30</v>
      </c>
      <c r="C344" t="s">
        <v>1463</v>
      </c>
      <c r="D344" t="s">
        <v>25</v>
      </c>
      <c r="E344" t="s">
        <v>1464</v>
      </c>
      <c r="F344" t="s">
        <v>61</v>
      </c>
      <c r="G344" t="s">
        <v>1465</v>
      </c>
      <c r="H344">
        <v>4899</v>
      </c>
      <c r="I344">
        <v>1</v>
      </c>
      <c r="J344">
        <v>4899</v>
      </c>
      <c r="K344" s="2" t="d">
        <v>2020-12-01</v>
      </c>
      <c r="L344">
        <v>20</v>
      </c>
      <c r="M344" t="s">
        <v>55</v>
      </c>
      <c r="N344" t="s">
        <v>30</v>
      </c>
      <c r="O344" t="s">
        <v>31</v>
      </c>
      <c r="P344" t="s">
        <v>32</v>
      </c>
      <c r="Q344" t="s">
        <v>31</v>
      </c>
      <c r="R344" s="1" t="d">
        <v>2025-01-27</v>
      </c>
      <c r="S344" t="s">
        <v>33</v>
      </c>
      <c r="T344" t="s">
        <v>46</v>
      </c>
      <c r="U344" t="s">
        <v>104</v>
      </c>
      <c r="V344" s="1" t="d">
        <v>2025-02-24</v>
      </c>
      <c r="W344" t="s">
        <v>48</v>
      </c>
    </row>
    <row r="345" spans="1:23">
      <c r="A345" t="s">
        <v>1466</v>
      </c>
      <c r="B345" s="1" t="d">
        <v>2024-12-30</v>
      </c>
      <c r="C345" t="s">
        <v>1467</v>
      </c>
      <c r="D345" t="s">
        <v>38</v>
      </c>
      <c r="E345" t="s">
        <v>1468</v>
      </c>
      <c r="F345" t="s">
        <v>71</v>
      </c>
      <c r="G345" t="s">
        <v>1469</v>
      </c>
      <c r="H345">
        <v>599</v>
      </c>
      <c r="I345">
        <v>3</v>
      </c>
      <c r="J345">
        <v>1797</v>
      </c>
      <c r="L345">
        <v>0</v>
      </c>
      <c r="M345" t="s">
        <v>111</v>
      </c>
      <c r="N345" t="s">
        <v>44</v>
      </c>
      <c r="O345" t="s">
        <v>45</v>
      </c>
      <c r="P345" t="s">
        <v>45</v>
      </c>
      <c r="Q345" t="s">
        <v>45</v>
      </c>
      <c r="R345" s="1" t="d">
        <v>2025-01-26</v>
      </c>
      <c r="S345" t="s">
        <v>33</v>
      </c>
      <c r="T345" t="s">
        <v>34</v>
      </c>
      <c r="W345" t="s">
        <v>35</v>
      </c>
    </row>
    <row r="346" spans="1:23">
      <c r="A346" t="s">
        <v>1470</v>
      </c>
      <c r="B346" s="1" t="d">
        <v>2024-12-30</v>
      </c>
      <c r="C346" t="s">
        <v>1471</v>
      </c>
      <c r="D346" t="s">
        <v>25</v>
      </c>
      <c r="E346" t="s">
        <v>1472</v>
      </c>
      <c r="F346" t="s">
        <v>27</v>
      </c>
      <c r="G346" t="s">
        <v>1473</v>
      </c>
      <c r="H346">
        <v>2199</v>
      </c>
      <c r="I346">
        <v>1</v>
      </c>
      <c r="J346">
        <v>2199</v>
      </c>
      <c r="L346">
        <v>0</v>
      </c>
      <c r="M346" t="s">
        <v>64</v>
      </c>
      <c r="N346" t="s">
        <v>65</v>
      </c>
      <c r="O346" t="s">
        <v>118</v>
      </c>
      <c r="P346" t="s">
        <v>119</v>
      </c>
      <c r="Q346" t="s">
        <v>45</v>
      </c>
      <c r="R346" s="1" t="d">
        <v>2025-01-27</v>
      </c>
      <c r="S346" t="s">
        <v>33</v>
      </c>
      <c r="T346" t="s">
        <v>46</v>
      </c>
      <c r="U346" t="s">
        <v>138</v>
      </c>
      <c r="V346" s="1" t="d">
        <v>2025-02-23</v>
      </c>
      <c r="W346" t="s">
        <v>48</v>
      </c>
    </row>
    <row r="347" spans="1:23">
      <c r="A347" t="s">
        <v>1474</v>
      </c>
      <c r="B347" s="1" t="d">
        <v>2024-12-31</v>
      </c>
      <c r="C347" t="s">
        <v>1475</v>
      </c>
      <c r="D347" t="s">
        <v>25</v>
      </c>
      <c r="E347" t="s">
        <v>1476</v>
      </c>
      <c r="F347" t="s">
        <v>40</v>
      </c>
      <c r="G347" t="s">
        <v>1159</v>
      </c>
      <c r="H347">
        <v>4499</v>
      </c>
      <c r="I347">
        <v>1</v>
      </c>
      <c r="J347">
        <v>4499</v>
      </c>
      <c r="K347" s="2" t="d">
        <v>2020-12-01</v>
      </c>
      <c r="L347">
        <v>20</v>
      </c>
      <c r="M347" t="s">
        <v>43</v>
      </c>
      <c r="N347" t="s">
        <v>30</v>
      </c>
      <c r="O347" t="s">
        <v>137</v>
      </c>
      <c r="P347" t="s">
        <v>113</v>
      </c>
      <c r="Q347" t="s">
        <v>45</v>
      </c>
      <c r="R347" s="1" t="d">
        <v>2025-01-28</v>
      </c>
      <c r="S347" t="s">
        <v>33</v>
      </c>
      <c r="T347" t="s">
        <v>46</v>
      </c>
      <c r="U347" t="s">
        <v>47</v>
      </c>
      <c r="V347" s="1" t="d">
        <v>2025-02-25</v>
      </c>
      <c r="W347" t="s">
        <v>48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5279-CC44-46E1-9E6F-47B7E0656FB1}">
  <dimension ref="A1:AA347"/>
  <sheetViews>
    <sheetView zoomScale="74" zoomScaleNormal="80" workbookViewId="0">
      <selection activeCell="E24" sqref="E24"/>
    </sheetView>
  </sheetViews>
  <sheetFormatPr defaultRowHeight="15"/>
  <cols>
    <col min="2" max="2" width="17.85546875" customWidth="1"/>
    <col min="8" max="10" width="9.28515625" bestFit="1" customWidth="1"/>
    <col min="12" max="12" width="9.28515625" bestFit="1" customWidth="1"/>
    <col min="18" max="18" width="13.85546875" bestFit="1" customWidth="1"/>
    <col min="22" max="22" width="13.85546875" bestFit="1" customWidth="1"/>
    <col min="25" max="25" width="14.42578125" bestFit="1" customWidth="1"/>
    <col min="26" max="26" width="13.42578125" customWidth="1"/>
    <col min="27" max="27" width="14.1406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1513</v>
      </c>
      <c r="Z1" t="s">
        <v>1546</v>
      </c>
      <c r="AA1" t="s">
        <v>1547</v>
      </c>
    </row>
    <row r="2" spans="1:27">
      <c r="A2" t="s">
        <v>23</v>
      </c>
      <c r="B2" s="1" t="d">
        <v>2024-10-01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1299</v>
      </c>
      <c r="I2">
        <v>2</v>
      </c>
      <c r="J2">
        <v>2598</v>
      </c>
      <c r="L2">
        <v>0</v>
      </c>
      <c r="M2" t="s">
        <v>29</v>
      </c>
      <c r="N2" t="s">
        <v>30</v>
      </c>
      <c r="O2" t="s">
        <v>31</v>
      </c>
      <c r="P2" t="s">
        <v>32</v>
      </c>
      <c r="Q2" t="s">
        <v>31</v>
      </c>
      <c r="R2" s="1" t="d">
        <v>2024-10-05</v>
      </c>
      <c r="S2" t="s">
        <v>33</v>
      </c>
      <c r="T2" t="s">
        <v>34</v>
      </c>
      <c r="W2" t="s">
        <v>35</v>
      </c>
      <c r="Y2" s="1" t="d">
        <f>B2 - WEEKDAY(B2,2) + 1</f>
        <v>2024-09-30</v>
      </c>
      <c r="Z2">
        <f>IF(R2&lt;&gt;"", R2-B2, "")</f>
        <v>4</v>
      </c>
      <c r="AA2" t="str">
        <f>IF(L2=0, "No Discount", IF(L2&lt;=20, "Low (1-20%)", "High (20%+)"))</f>
        <v>No Discount</v>
      </c>
    </row>
    <row r="3" spans="1:27">
      <c r="A3" t="s">
        <v>36</v>
      </c>
      <c r="B3" s="1" t="d">
        <v>2024-10-01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>
        <v>2499</v>
      </c>
      <c r="I3">
        <v>1</v>
      </c>
      <c r="J3">
        <v>2499</v>
      </c>
      <c r="K3" t="s">
        <v>42</v>
      </c>
      <c r="L3">
        <v>20</v>
      </c>
      <c r="M3" t="s">
        <v>43</v>
      </c>
      <c r="N3" t="s">
        <v>44</v>
      </c>
      <c r="O3" t="s">
        <v>45</v>
      </c>
      <c r="P3" t="s">
        <v>45</v>
      </c>
      <c r="Q3" t="s">
        <v>45</v>
      </c>
      <c r="R3" s="1" t="d">
        <v>2024-10-04</v>
      </c>
      <c r="S3" t="s">
        <v>33</v>
      </c>
      <c r="T3" t="s">
        <v>46</v>
      </c>
      <c r="U3" t="s">
        <v>47</v>
      </c>
      <c r="V3" s="1" t="d">
        <v>2024-10-15</v>
      </c>
      <c r="W3" t="s">
        <v>48</v>
      </c>
      <c r="Y3" s="1" t="d">
        <f t="shared" ref="Y3:Y66" si="0">B3 - WEEKDAY(B3,2) + 1</f>
        <v>2024-09-30</v>
      </c>
      <c r="Z3">
        <f t="shared" ref="Z3:Z66" si="1">IF(R3&lt;&gt;"", R3-B3, "")</f>
        <v>3</v>
      </c>
      <c r="AA3" t="str">
        <f t="shared" ref="AA3:AA66" si="2">IF(L3=0, "No Discount", IF(L3&lt;=20, "Low (1-20%)", "High (20%+)"))</f>
        <v>Low (1-20%)</v>
      </c>
    </row>
    <row r="4" spans="1:27">
      <c r="A4" t="s">
        <v>49</v>
      </c>
      <c r="B4" s="1" t="d">
        <v>2024-10-01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1899</v>
      </c>
      <c r="I4">
        <v>1</v>
      </c>
      <c r="J4">
        <v>1899</v>
      </c>
      <c r="L4">
        <v>0</v>
      </c>
      <c r="M4" t="s">
        <v>55</v>
      </c>
      <c r="N4" t="s">
        <v>30</v>
      </c>
      <c r="O4" t="s">
        <v>56</v>
      </c>
      <c r="P4" t="s">
        <v>57</v>
      </c>
      <c r="Q4" t="s">
        <v>56</v>
      </c>
      <c r="R4" s="1" t="d">
        <v>2024-10-06</v>
      </c>
      <c r="S4" t="s">
        <v>33</v>
      </c>
      <c r="T4" t="s">
        <v>34</v>
      </c>
      <c r="W4" t="s">
        <v>35</v>
      </c>
      <c r="Y4" s="1" t="d">
        <f t="shared" si="0"/>
        <v>2024-09-30</v>
      </c>
      <c r="Z4">
        <f t="shared" si="1"/>
        <v>5</v>
      </c>
      <c r="AA4" t="str">
        <f t="shared" si="2"/>
        <v>No Discount</v>
      </c>
    </row>
    <row r="5" spans="1:27">
      <c r="A5" t="s">
        <v>58</v>
      </c>
      <c r="B5" s="1" t="d">
        <v>2024-10-01</v>
      </c>
      <c r="C5" t="s">
        <v>59</v>
      </c>
      <c r="D5" t="s">
        <v>25</v>
      </c>
      <c r="E5" t="s">
        <v>60</v>
      </c>
      <c r="F5" t="s">
        <v>61</v>
      </c>
      <c r="G5" t="s">
        <v>62</v>
      </c>
      <c r="H5">
        <v>3499</v>
      </c>
      <c r="I5">
        <v>1</v>
      </c>
      <c r="J5">
        <v>3499</v>
      </c>
      <c r="K5" t="s">
        <v>63</v>
      </c>
      <c r="L5">
        <v>15</v>
      </c>
      <c r="M5" t="s">
        <v>64</v>
      </c>
      <c r="N5" t="s">
        <v>65</v>
      </c>
      <c r="O5" t="s">
        <v>66</v>
      </c>
      <c r="P5" t="s">
        <v>67</v>
      </c>
      <c r="Q5" t="s">
        <v>31</v>
      </c>
      <c r="R5" s="1" t="d">
        <v>2024-10-08</v>
      </c>
      <c r="S5" t="s">
        <v>33</v>
      </c>
      <c r="T5" t="s">
        <v>46</v>
      </c>
      <c r="U5" t="s">
        <v>68</v>
      </c>
      <c r="V5" s="1" t="d">
        <v>2024-10-20</v>
      </c>
      <c r="W5" t="s">
        <v>48</v>
      </c>
      <c r="Y5" s="1" t="d">
        <f t="shared" si="0"/>
        <v>2024-09-30</v>
      </c>
      <c r="Z5">
        <f t="shared" si="1"/>
        <v>7</v>
      </c>
      <c r="AA5" t="str">
        <f t="shared" si="2"/>
        <v>Low (1-20%)</v>
      </c>
    </row>
    <row r="6" spans="1:27">
      <c r="A6" t="s">
        <v>69</v>
      </c>
      <c r="B6" s="1" t="d">
        <v>2024-10-01</v>
      </c>
      <c r="C6" t="s">
        <v>24</v>
      </c>
      <c r="D6" t="s">
        <v>25</v>
      </c>
      <c r="E6" t="s">
        <v>70</v>
      </c>
      <c r="F6" t="s">
        <v>71</v>
      </c>
      <c r="G6" t="s">
        <v>72</v>
      </c>
      <c r="H6">
        <v>799</v>
      </c>
      <c r="I6">
        <v>3</v>
      </c>
      <c r="J6">
        <v>2397</v>
      </c>
      <c r="L6">
        <v>0</v>
      </c>
      <c r="M6" t="s">
        <v>29</v>
      </c>
      <c r="N6" t="s">
        <v>30</v>
      </c>
      <c r="O6" t="s">
        <v>31</v>
      </c>
      <c r="P6" t="s">
        <v>32</v>
      </c>
      <c r="Q6" t="s">
        <v>31</v>
      </c>
      <c r="R6" s="1" t="d">
        <v>2024-10-06</v>
      </c>
      <c r="S6" t="s">
        <v>33</v>
      </c>
      <c r="T6" t="s">
        <v>34</v>
      </c>
      <c r="W6" t="s">
        <v>35</v>
      </c>
      <c r="Y6" s="1" t="d">
        <f t="shared" si="0"/>
        <v>2024-09-30</v>
      </c>
      <c r="Z6">
        <f t="shared" si="1"/>
        <v>5</v>
      </c>
      <c r="AA6" t="str">
        <f t="shared" si="2"/>
        <v>No Discount</v>
      </c>
    </row>
    <row r="7" spans="1:27">
      <c r="A7" t="s">
        <v>73</v>
      </c>
      <c r="B7" s="1" t="d">
        <v>2024-10-02</v>
      </c>
      <c r="C7" t="s">
        <v>74</v>
      </c>
      <c r="D7" t="s">
        <v>38</v>
      </c>
      <c r="E7" t="s">
        <v>75</v>
      </c>
      <c r="F7" t="s">
        <v>27</v>
      </c>
      <c r="G7" t="s">
        <v>76</v>
      </c>
      <c r="H7">
        <v>1599</v>
      </c>
      <c r="I7">
        <v>2</v>
      </c>
      <c r="J7">
        <v>3198</v>
      </c>
      <c r="L7">
        <v>0</v>
      </c>
      <c r="M7" t="s">
        <v>43</v>
      </c>
      <c r="N7" t="s">
        <v>44</v>
      </c>
      <c r="O7" t="s">
        <v>77</v>
      </c>
      <c r="P7" t="s">
        <v>78</v>
      </c>
      <c r="Q7" t="s">
        <v>56</v>
      </c>
      <c r="R7" s="1" t="d">
        <v>2024-10-07</v>
      </c>
      <c r="S7" t="s">
        <v>33</v>
      </c>
      <c r="T7" t="s">
        <v>46</v>
      </c>
      <c r="U7" t="s">
        <v>79</v>
      </c>
      <c r="V7" s="1" t="d">
        <v>2024-10-18</v>
      </c>
      <c r="W7" t="s">
        <v>48</v>
      </c>
      <c r="Y7" s="1" t="d">
        <f t="shared" si="0"/>
        <v>2024-09-30</v>
      </c>
      <c r="Z7">
        <f t="shared" si="1"/>
        <v>5</v>
      </c>
      <c r="AA7" t="str">
        <f t="shared" si="2"/>
        <v>No Discount</v>
      </c>
    </row>
    <row r="8" spans="1:27">
      <c r="A8" t="s">
        <v>80</v>
      </c>
      <c r="B8" s="1" t="d">
        <v>2024-10-02</v>
      </c>
      <c r="C8" t="s">
        <v>81</v>
      </c>
      <c r="D8" t="s">
        <v>25</v>
      </c>
      <c r="E8" t="s">
        <v>82</v>
      </c>
      <c r="F8" t="s">
        <v>40</v>
      </c>
      <c r="G8" t="s">
        <v>83</v>
      </c>
      <c r="H8">
        <v>2199</v>
      </c>
      <c r="I8">
        <v>1</v>
      </c>
      <c r="J8">
        <v>2199</v>
      </c>
      <c r="K8" t="s">
        <v>42</v>
      </c>
      <c r="L8">
        <v>20</v>
      </c>
      <c r="M8" t="s">
        <v>55</v>
      </c>
      <c r="N8" t="s">
        <v>30</v>
      </c>
      <c r="O8" t="s">
        <v>84</v>
      </c>
      <c r="P8" t="s">
        <v>32</v>
      </c>
      <c r="Q8" t="s">
        <v>31</v>
      </c>
      <c r="S8" t="s">
        <v>85</v>
      </c>
      <c r="T8" t="s">
        <v>34</v>
      </c>
      <c r="W8" t="s">
        <v>35</v>
      </c>
      <c r="Y8" s="1" t="d">
        <f t="shared" si="0"/>
        <v>2024-09-30</v>
      </c>
      <c r="Z8" t="str">
        <f t="shared" si="1"/>
        <v/>
      </c>
      <c r="AA8" t="str">
        <f t="shared" si="2"/>
        <v>Low (1-20%)</v>
      </c>
    </row>
    <row r="9" spans="1:27">
      <c r="A9" t="s">
        <v>86</v>
      </c>
      <c r="B9" s="1" t="d">
        <v>2024-10-02</v>
      </c>
      <c r="C9" t="s">
        <v>87</v>
      </c>
      <c r="D9" t="s">
        <v>25</v>
      </c>
      <c r="E9" t="s">
        <v>88</v>
      </c>
      <c r="F9" t="s">
        <v>53</v>
      </c>
      <c r="G9" t="s">
        <v>89</v>
      </c>
      <c r="H9">
        <v>2299</v>
      </c>
      <c r="I9">
        <v>1</v>
      </c>
      <c r="J9">
        <v>2299</v>
      </c>
      <c r="L9">
        <v>0</v>
      </c>
      <c r="M9" t="s">
        <v>29</v>
      </c>
      <c r="N9" t="s">
        <v>44</v>
      </c>
      <c r="O9" t="s">
        <v>90</v>
      </c>
      <c r="P9" t="s">
        <v>91</v>
      </c>
      <c r="Q9" t="s">
        <v>45</v>
      </c>
      <c r="R9" s="1" t="d">
        <v>2024-10-10</v>
      </c>
      <c r="S9" t="s">
        <v>33</v>
      </c>
      <c r="T9" t="s">
        <v>34</v>
      </c>
      <c r="W9" t="s">
        <v>35</v>
      </c>
      <c r="Y9" s="1" t="d">
        <f t="shared" si="0"/>
        <v>2024-09-30</v>
      </c>
      <c r="Z9">
        <f t="shared" si="1"/>
        <v>8</v>
      </c>
      <c r="AA9" t="str">
        <f t="shared" si="2"/>
        <v>No Discount</v>
      </c>
    </row>
    <row r="10" spans="1:27">
      <c r="A10" t="s">
        <v>92</v>
      </c>
      <c r="B10" s="1" t="d">
        <v>2024-10-02</v>
      </c>
      <c r="C10" t="s">
        <v>93</v>
      </c>
      <c r="D10" t="s">
        <v>38</v>
      </c>
      <c r="E10" t="s">
        <v>94</v>
      </c>
      <c r="F10" t="s">
        <v>27</v>
      </c>
      <c r="G10" t="s">
        <v>95</v>
      </c>
      <c r="H10">
        <v>1399</v>
      </c>
      <c r="I10">
        <v>5</v>
      </c>
      <c r="J10">
        <v>6995</v>
      </c>
      <c r="L10">
        <v>0</v>
      </c>
      <c r="M10" t="s">
        <v>43</v>
      </c>
      <c r="N10" t="s">
        <v>30</v>
      </c>
      <c r="O10" t="s">
        <v>96</v>
      </c>
      <c r="P10" t="s">
        <v>97</v>
      </c>
      <c r="Q10" t="s">
        <v>31</v>
      </c>
      <c r="R10" s="1" t="d">
        <v>2024-10-09</v>
      </c>
      <c r="S10" t="s">
        <v>33</v>
      </c>
      <c r="T10" t="s">
        <v>46</v>
      </c>
      <c r="U10" t="s">
        <v>47</v>
      </c>
      <c r="V10" s="1" t="d">
        <v>2024-10-22</v>
      </c>
      <c r="W10" t="s">
        <v>48</v>
      </c>
      <c r="Y10" s="1" t="d">
        <f t="shared" si="0"/>
        <v>2024-09-30</v>
      </c>
      <c r="Z10">
        <f t="shared" si="1"/>
        <v>7</v>
      </c>
      <c r="AA10" t="str">
        <f t="shared" si="2"/>
        <v>No Discount</v>
      </c>
    </row>
    <row r="11" spans="1:27">
      <c r="A11" t="s">
        <v>98</v>
      </c>
      <c r="B11" s="1" t="d">
        <v>2024-10-02</v>
      </c>
      <c r="C11" t="s">
        <v>99</v>
      </c>
      <c r="D11" t="s">
        <v>25</v>
      </c>
      <c r="E11" t="s">
        <v>100</v>
      </c>
      <c r="F11" t="s">
        <v>61</v>
      </c>
      <c r="G11" t="s">
        <v>101</v>
      </c>
      <c r="H11">
        <v>4999</v>
      </c>
      <c r="I11">
        <v>-1</v>
      </c>
      <c r="J11">
        <v>4999</v>
      </c>
      <c r="L11">
        <v>0</v>
      </c>
      <c r="M11" t="s">
        <v>64</v>
      </c>
      <c r="N11" t="s">
        <v>65</v>
      </c>
      <c r="O11" t="s">
        <v>102</v>
      </c>
      <c r="P11" t="s">
        <v>103</v>
      </c>
      <c r="Q11" t="s">
        <v>45</v>
      </c>
      <c r="R11" s="1" t="d">
        <v>2024-10-11</v>
      </c>
      <c r="S11" t="s">
        <v>33</v>
      </c>
      <c r="T11" t="s">
        <v>46</v>
      </c>
      <c r="U11" t="s">
        <v>104</v>
      </c>
      <c r="V11" s="1" t="d">
        <v>2024-10-25</v>
      </c>
      <c r="W11" t="s">
        <v>105</v>
      </c>
      <c r="Y11" s="1" t="d">
        <f t="shared" si="0"/>
        <v>2024-09-30</v>
      </c>
      <c r="Z11">
        <f t="shared" si="1"/>
        <v>9</v>
      </c>
      <c r="AA11" t="str">
        <f t="shared" si="2"/>
        <v>No Discount</v>
      </c>
    </row>
    <row r="12" spans="1:27">
      <c r="A12" t="s">
        <v>106</v>
      </c>
      <c r="B12" s="1" t="d">
        <v>2024-10-03</v>
      </c>
      <c r="C12" t="s">
        <v>107</v>
      </c>
      <c r="D12" t="s">
        <v>25</v>
      </c>
      <c r="E12" t="s">
        <v>108</v>
      </c>
      <c r="F12" t="s">
        <v>71</v>
      </c>
      <c r="G12" t="s">
        <v>109</v>
      </c>
      <c r="H12">
        <v>1299</v>
      </c>
      <c r="I12">
        <v>2</v>
      </c>
      <c r="J12">
        <v>2598</v>
      </c>
      <c r="K12" t="s">
        <v>110</v>
      </c>
      <c r="L12">
        <v>10</v>
      </c>
      <c r="M12" t="s">
        <v>111</v>
      </c>
      <c r="N12" t="s">
        <v>30</v>
      </c>
      <c r="O12" t="s">
        <v>112</v>
      </c>
      <c r="P12" t="s">
        <v>113</v>
      </c>
      <c r="Q12" t="s">
        <v>45</v>
      </c>
      <c r="R12" s="1" t="d">
        <v>2024-10-10</v>
      </c>
      <c r="S12" t="s">
        <v>33</v>
      </c>
      <c r="T12" t="s">
        <v>34</v>
      </c>
      <c r="W12" t="s">
        <v>35</v>
      </c>
      <c r="Y12" s="1" t="d">
        <f t="shared" si="0"/>
        <v>2024-09-30</v>
      </c>
      <c r="Z12">
        <f t="shared" si="1"/>
        <v>7</v>
      </c>
      <c r="AA12" t="str">
        <f t="shared" si="2"/>
        <v>Low (1-20%)</v>
      </c>
    </row>
    <row r="13" spans="1:27">
      <c r="A13" t="s">
        <v>114</v>
      </c>
      <c r="B13" s="1" t="d">
        <v>2024-10-03</v>
      </c>
      <c r="C13" t="s">
        <v>115</v>
      </c>
      <c r="D13" t="s">
        <v>25</v>
      </c>
      <c r="E13" t="s">
        <v>116</v>
      </c>
      <c r="F13" t="s">
        <v>40</v>
      </c>
      <c r="G13" t="s">
        <v>117</v>
      </c>
      <c r="H13">
        <v>3299</v>
      </c>
      <c r="I13">
        <v>1</v>
      </c>
      <c r="J13">
        <v>3299</v>
      </c>
      <c r="L13">
        <v>0</v>
      </c>
      <c r="M13" t="s">
        <v>55</v>
      </c>
      <c r="N13" t="s">
        <v>44</v>
      </c>
      <c r="O13" t="s">
        <v>118</v>
      </c>
      <c r="P13" t="s">
        <v>119</v>
      </c>
      <c r="Q13" t="s">
        <v>45</v>
      </c>
      <c r="S13" t="s">
        <v>120</v>
      </c>
      <c r="T13" t="s">
        <v>34</v>
      </c>
      <c r="W13" t="s">
        <v>35</v>
      </c>
      <c r="Y13" s="1" t="d">
        <f t="shared" si="0"/>
        <v>2024-09-30</v>
      </c>
      <c r="Z13" t="str">
        <f t="shared" si="1"/>
        <v/>
      </c>
      <c r="AA13" t="str">
        <f t="shared" si="2"/>
        <v>No Discount</v>
      </c>
    </row>
    <row r="14" spans="1:27">
      <c r="A14" t="s">
        <v>121</v>
      </c>
      <c r="B14" s="1" t="d">
        <v>2024-10-03</v>
      </c>
      <c r="C14" t="s">
        <v>122</v>
      </c>
      <c r="D14" t="s">
        <v>38</v>
      </c>
      <c r="E14" t="s">
        <v>123</v>
      </c>
      <c r="F14" t="s">
        <v>27</v>
      </c>
      <c r="G14" t="s">
        <v>124</v>
      </c>
      <c r="H14">
        <v>2499</v>
      </c>
      <c r="I14">
        <v>1</v>
      </c>
      <c r="J14">
        <v>2499</v>
      </c>
      <c r="L14">
        <v>0</v>
      </c>
      <c r="M14" t="s">
        <v>43</v>
      </c>
      <c r="N14" t="s">
        <v>30</v>
      </c>
      <c r="O14" t="s">
        <v>31</v>
      </c>
      <c r="P14" t="s">
        <v>32</v>
      </c>
      <c r="Q14" t="s">
        <v>31</v>
      </c>
      <c r="R14" s="1" t="d">
        <v>2024-10-09</v>
      </c>
      <c r="S14" t="s">
        <v>33</v>
      </c>
      <c r="T14" t="s">
        <v>34</v>
      </c>
      <c r="W14" t="s">
        <v>35</v>
      </c>
      <c r="Y14" s="1" t="d">
        <f t="shared" si="0"/>
        <v>2024-09-30</v>
      </c>
      <c r="Z14">
        <f t="shared" si="1"/>
        <v>6</v>
      </c>
      <c r="AA14" t="str">
        <f t="shared" si="2"/>
        <v>No Discount</v>
      </c>
    </row>
    <row r="15" spans="1:27">
      <c r="A15" t="s">
        <v>125</v>
      </c>
      <c r="B15" s="1" t="d">
        <v>2024-10-03</v>
      </c>
      <c r="C15" t="s">
        <v>126</v>
      </c>
      <c r="D15" t="s">
        <v>25</v>
      </c>
      <c r="E15" t="s">
        <v>127</v>
      </c>
      <c r="F15" t="s">
        <v>53</v>
      </c>
      <c r="G15" t="s">
        <v>128</v>
      </c>
      <c r="H15">
        <v>1799</v>
      </c>
      <c r="I15">
        <v>2</v>
      </c>
      <c r="J15">
        <v>3598</v>
      </c>
      <c r="K15" t="s">
        <v>42</v>
      </c>
      <c r="L15">
        <v>20</v>
      </c>
      <c r="M15" t="s">
        <v>29</v>
      </c>
      <c r="N15" t="s">
        <v>65</v>
      </c>
      <c r="O15" t="s">
        <v>45</v>
      </c>
      <c r="P15" t="s">
        <v>45</v>
      </c>
      <c r="Q15" t="s">
        <v>45</v>
      </c>
      <c r="R15" s="1" t="d">
        <v>2024-10-11</v>
      </c>
      <c r="S15" t="s">
        <v>33</v>
      </c>
      <c r="T15" t="s">
        <v>46</v>
      </c>
      <c r="U15" t="s">
        <v>47</v>
      </c>
      <c r="V15" s="1" t="d">
        <v>2024-10-28</v>
      </c>
      <c r="W15" t="s">
        <v>48</v>
      </c>
      <c r="Y15" s="1" t="d">
        <f t="shared" si="0"/>
        <v>2024-09-30</v>
      </c>
      <c r="Z15">
        <f t="shared" si="1"/>
        <v>8</v>
      </c>
      <c r="AA15" t="str">
        <f t="shared" si="2"/>
        <v>Low (1-20%)</v>
      </c>
    </row>
    <row r="16" spans="1:27">
      <c r="A16" t="s">
        <v>129</v>
      </c>
      <c r="B16" s="1" t="d">
        <v>2024-10-03</v>
      </c>
      <c r="C16" t="s">
        <v>130</v>
      </c>
      <c r="D16" t="s">
        <v>25</v>
      </c>
      <c r="E16" t="s">
        <v>131</v>
      </c>
      <c r="F16" t="s">
        <v>61</v>
      </c>
      <c r="G16" t="s">
        <v>132</v>
      </c>
      <c r="H16">
        <v>2799</v>
      </c>
      <c r="I16">
        <v>1</v>
      </c>
      <c r="J16">
        <v>2799</v>
      </c>
      <c r="L16">
        <v>0</v>
      </c>
      <c r="M16" t="s">
        <v>64</v>
      </c>
      <c r="N16" t="s">
        <v>44</v>
      </c>
      <c r="O16" t="s">
        <v>56</v>
      </c>
      <c r="P16" t="s">
        <v>57</v>
      </c>
      <c r="Q16" t="s">
        <v>56</v>
      </c>
      <c r="R16" s="1" t="d">
        <v>2024-10-12</v>
      </c>
      <c r="S16" t="s">
        <v>33</v>
      </c>
      <c r="T16" t="s">
        <v>34</v>
      </c>
      <c r="W16" t="s">
        <v>35</v>
      </c>
      <c r="Y16" s="1" t="d">
        <f t="shared" si="0"/>
        <v>2024-09-30</v>
      </c>
      <c r="Z16">
        <f t="shared" si="1"/>
        <v>9</v>
      </c>
      <c r="AA16" t="str">
        <f t="shared" si="2"/>
        <v>No Discount</v>
      </c>
    </row>
    <row r="17" spans="1:27">
      <c r="A17" t="s">
        <v>133</v>
      </c>
      <c r="B17" s="1" t="d">
        <v>2024-10-04</v>
      </c>
      <c r="C17" t="s">
        <v>134</v>
      </c>
      <c r="D17" t="s">
        <v>38</v>
      </c>
      <c r="E17" t="s">
        <v>135</v>
      </c>
      <c r="F17" t="s">
        <v>71</v>
      </c>
      <c r="G17" t="s">
        <v>136</v>
      </c>
      <c r="H17">
        <v>599</v>
      </c>
      <c r="I17">
        <v>4</v>
      </c>
      <c r="J17">
        <v>2396</v>
      </c>
      <c r="L17">
        <v>0</v>
      </c>
      <c r="M17" t="s">
        <v>55</v>
      </c>
      <c r="N17" t="s">
        <v>30</v>
      </c>
      <c r="O17" t="s">
        <v>137</v>
      </c>
      <c r="P17" t="s">
        <v>113</v>
      </c>
      <c r="Q17" t="s">
        <v>45</v>
      </c>
      <c r="R17" s="1" t="d">
        <v>2024-10-14</v>
      </c>
      <c r="S17" t="s">
        <v>33</v>
      </c>
      <c r="T17" t="s">
        <v>46</v>
      </c>
      <c r="U17" t="s">
        <v>138</v>
      </c>
      <c r="V17" s="1" t="d">
        <v>2024-10-26</v>
      </c>
      <c r="W17" t="s">
        <v>48</v>
      </c>
      <c r="Y17" s="1" t="d">
        <f t="shared" si="0"/>
        <v>2024-09-30</v>
      </c>
      <c r="Z17">
        <f t="shared" si="1"/>
        <v>10</v>
      </c>
      <c r="AA17" t="str">
        <f t="shared" si="2"/>
        <v>No Discount</v>
      </c>
    </row>
    <row r="18" spans="1:27">
      <c r="A18" t="s">
        <v>139</v>
      </c>
      <c r="B18" s="1" t="d">
        <v>2024-10-04</v>
      </c>
      <c r="C18" t="s">
        <v>140</v>
      </c>
      <c r="D18" t="s">
        <v>25</v>
      </c>
      <c r="E18" t="s">
        <v>141</v>
      </c>
      <c r="F18" t="s">
        <v>27</v>
      </c>
      <c r="G18" t="s">
        <v>142</v>
      </c>
      <c r="H18">
        <v>999</v>
      </c>
      <c r="I18">
        <v>1</v>
      </c>
      <c r="J18">
        <v>999</v>
      </c>
      <c r="K18" t="s">
        <v>63</v>
      </c>
      <c r="L18">
        <v>15</v>
      </c>
      <c r="M18" t="s">
        <v>29</v>
      </c>
      <c r="N18" t="s">
        <v>44</v>
      </c>
      <c r="O18" t="s">
        <v>143</v>
      </c>
      <c r="P18" t="s">
        <v>144</v>
      </c>
      <c r="Q18" t="s">
        <v>45</v>
      </c>
      <c r="R18" s="1" t="d">
        <v>2024-10-12</v>
      </c>
      <c r="S18" t="s">
        <v>33</v>
      </c>
      <c r="T18" t="s">
        <v>34</v>
      </c>
      <c r="W18" t="s">
        <v>35</v>
      </c>
      <c r="Y18" s="1" t="d">
        <f t="shared" si="0"/>
        <v>2024-09-30</v>
      </c>
      <c r="Z18">
        <f t="shared" si="1"/>
        <v>8</v>
      </c>
      <c r="AA18" t="str">
        <f t="shared" si="2"/>
        <v>Low (1-20%)</v>
      </c>
    </row>
    <row r="19" spans="1:27">
      <c r="A19" t="s">
        <v>146</v>
      </c>
      <c r="B19" s="1" t="d">
        <v>2024-10-04</v>
      </c>
      <c r="C19" t="s">
        <v>147</v>
      </c>
      <c r="D19" t="s">
        <v>25</v>
      </c>
      <c r="E19" t="s">
        <v>148</v>
      </c>
      <c r="F19" t="s">
        <v>40</v>
      </c>
      <c r="G19" t="s">
        <v>149</v>
      </c>
      <c r="H19">
        <v>2899</v>
      </c>
      <c r="I19">
        <v>1</v>
      </c>
      <c r="J19">
        <v>2899</v>
      </c>
      <c r="L19">
        <v>0</v>
      </c>
      <c r="M19" t="s">
        <v>43</v>
      </c>
      <c r="N19" t="s">
        <v>30</v>
      </c>
      <c r="O19" t="s">
        <v>150</v>
      </c>
      <c r="P19" t="s">
        <v>151</v>
      </c>
      <c r="Q19" t="s">
        <v>31</v>
      </c>
      <c r="R19" s="1" t="d">
        <v>2024-10-14</v>
      </c>
      <c r="S19" t="s">
        <v>33</v>
      </c>
      <c r="T19" t="s">
        <v>34</v>
      </c>
      <c r="W19" t="s">
        <v>35</v>
      </c>
      <c r="Y19" s="1" t="d">
        <f t="shared" si="0"/>
        <v>2024-09-30</v>
      </c>
      <c r="Z19">
        <f t="shared" si="1"/>
        <v>10</v>
      </c>
      <c r="AA19" t="str">
        <f t="shared" si="2"/>
        <v>No Discount</v>
      </c>
    </row>
    <row r="20" spans="1:27">
      <c r="A20" t="s">
        <v>152</v>
      </c>
      <c r="B20" s="1" t="d">
        <v>2024-10-04</v>
      </c>
      <c r="C20" t="s">
        <v>153</v>
      </c>
      <c r="D20" t="s">
        <v>38</v>
      </c>
      <c r="E20" t="s">
        <v>154</v>
      </c>
      <c r="F20" t="s">
        <v>53</v>
      </c>
      <c r="G20" t="s">
        <v>155</v>
      </c>
      <c r="H20">
        <v>1499</v>
      </c>
      <c r="I20">
        <v>2</v>
      </c>
      <c r="J20">
        <v>2998</v>
      </c>
      <c r="L20">
        <v>0</v>
      </c>
      <c r="M20" t="s">
        <v>111</v>
      </c>
      <c r="N20" t="s">
        <v>65</v>
      </c>
      <c r="O20" t="s">
        <v>156</v>
      </c>
      <c r="P20" t="s">
        <v>97</v>
      </c>
      <c r="Q20" t="s">
        <v>31</v>
      </c>
      <c r="R20" s="1" t="d">
        <v>2024-10-13</v>
      </c>
      <c r="S20" t="s">
        <v>33</v>
      </c>
      <c r="T20" t="s">
        <v>46</v>
      </c>
      <c r="U20" t="s">
        <v>47</v>
      </c>
      <c r="V20" s="1" t="d">
        <v>2024-10-30</v>
      </c>
      <c r="W20" t="s">
        <v>48</v>
      </c>
      <c r="Y20" s="1" t="d">
        <f t="shared" si="0"/>
        <v>2024-09-30</v>
      </c>
      <c r="Z20">
        <f t="shared" si="1"/>
        <v>9</v>
      </c>
      <c r="AA20" t="str">
        <f t="shared" si="2"/>
        <v>No Discount</v>
      </c>
    </row>
    <row r="21" spans="1:27">
      <c r="A21" t="s">
        <v>157</v>
      </c>
      <c r="B21" s="1" t="d">
        <v>2024-10-05</v>
      </c>
      <c r="C21" t="s">
        <v>158</v>
      </c>
      <c r="D21" t="s">
        <v>25</v>
      </c>
      <c r="E21" t="s">
        <v>159</v>
      </c>
      <c r="F21" t="s">
        <v>61</v>
      </c>
      <c r="G21" t="s">
        <v>160</v>
      </c>
      <c r="H21">
        <v>3999</v>
      </c>
      <c r="I21">
        <v>1</v>
      </c>
      <c r="J21">
        <v>3999</v>
      </c>
      <c r="K21" t="s">
        <v>42</v>
      </c>
      <c r="L21">
        <v>20</v>
      </c>
      <c r="M21" t="s">
        <v>55</v>
      </c>
      <c r="N21" t="s">
        <v>30</v>
      </c>
      <c r="O21" t="s">
        <v>161</v>
      </c>
      <c r="P21" t="s">
        <v>162</v>
      </c>
      <c r="Q21" t="s">
        <v>45</v>
      </c>
      <c r="S21" t="s">
        <v>120</v>
      </c>
      <c r="T21" t="s">
        <v>34</v>
      </c>
      <c r="W21" t="s">
        <v>35</v>
      </c>
      <c r="Y21" s="1" t="d">
        <f t="shared" si="0"/>
        <v>2024-09-30</v>
      </c>
      <c r="Z21" t="str">
        <f t="shared" si="1"/>
        <v/>
      </c>
      <c r="AA21" t="str">
        <f t="shared" si="2"/>
        <v>Low (1-20%)</v>
      </c>
    </row>
    <row r="22" spans="1:27">
      <c r="A22" t="s">
        <v>163</v>
      </c>
      <c r="B22" s="1" t="d">
        <v>2024-10-05</v>
      </c>
      <c r="C22" t="s">
        <v>164</v>
      </c>
      <c r="D22" t="s">
        <v>25</v>
      </c>
      <c r="E22" t="s">
        <v>165</v>
      </c>
      <c r="F22" t="s">
        <v>27</v>
      </c>
      <c r="G22" t="s">
        <v>166</v>
      </c>
      <c r="H22">
        <v>1699</v>
      </c>
      <c r="I22">
        <v>1</v>
      </c>
      <c r="J22">
        <v>1699</v>
      </c>
      <c r="L22">
        <v>0</v>
      </c>
      <c r="M22" t="s">
        <v>29</v>
      </c>
      <c r="N22" t="s">
        <v>44</v>
      </c>
      <c r="O22" t="s">
        <v>167</v>
      </c>
      <c r="P22" t="s">
        <v>151</v>
      </c>
      <c r="Q22" t="s">
        <v>31</v>
      </c>
      <c r="R22" s="1" t="d">
        <v>2024-10-15</v>
      </c>
      <c r="S22" t="s">
        <v>33</v>
      </c>
      <c r="T22" t="s">
        <v>34</v>
      </c>
      <c r="W22" t="s">
        <v>35</v>
      </c>
      <c r="Y22" s="1" t="d">
        <f t="shared" si="0"/>
        <v>2024-09-30</v>
      </c>
      <c r="Z22">
        <f t="shared" si="1"/>
        <v>10</v>
      </c>
      <c r="AA22" t="str">
        <f t="shared" si="2"/>
        <v>No Discount</v>
      </c>
    </row>
    <row r="23" spans="1:27">
      <c r="A23" t="s">
        <v>168</v>
      </c>
      <c r="B23" s="1" t="d">
        <v>2024-10-05</v>
      </c>
      <c r="C23" t="s">
        <v>169</v>
      </c>
      <c r="D23" t="s">
        <v>38</v>
      </c>
      <c r="E23" t="s">
        <v>170</v>
      </c>
      <c r="F23" t="s">
        <v>40</v>
      </c>
      <c r="G23" t="s">
        <v>171</v>
      </c>
      <c r="H23">
        <v>2399</v>
      </c>
      <c r="I23">
        <v>1</v>
      </c>
      <c r="J23">
        <v>2399</v>
      </c>
      <c r="L23">
        <v>0</v>
      </c>
      <c r="M23" t="s">
        <v>43</v>
      </c>
      <c r="N23" t="s">
        <v>30</v>
      </c>
      <c r="O23" t="s">
        <v>172</v>
      </c>
      <c r="P23" t="s">
        <v>32</v>
      </c>
      <c r="Q23" t="s">
        <v>31</v>
      </c>
      <c r="R23" s="1" t="d">
        <v>2024-10-16</v>
      </c>
      <c r="S23" t="s">
        <v>33</v>
      </c>
      <c r="T23" t="s">
        <v>46</v>
      </c>
      <c r="U23" t="s">
        <v>68</v>
      </c>
      <c r="V23" s="1" t="d">
        <v>2024-11-02</v>
      </c>
      <c r="W23" t="s">
        <v>48</v>
      </c>
      <c r="Y23" s="1" t="d">
        <f t="shared" si="0"/>
        <v>2024-09-30</v>
      </c>
      <c r="Z23">
        <f t="shared" si="1"/>
        <v>11</v>
      </c>
      <c r="AA23" t="str">
        <f t="shared" si="2"/>
        <v>No Discount</v>
      </c>
    </row>
    <row r="24" spans="1:27">
      <c r="A24" t="s">
        <v>173</v>
      </c>
      <c r="B24" s="1" t="d">
        <v>2024-10-05</v>
      </c>
      <c r="C24" t="s">
        <v>174</v>
      </c>
      <c r="D24" t="s">
        <v>25</v>
      </c>
      <c r="E24" t="s">
        <v>175</v>
      </c>
      <c r="F24" t="s">
        <v>71</v>
      </c>
      <c r="G24" t="s">
        <v>176</v>
      </c>
      <c r="H24">
        <v>899</v>
      </c>
      <c r="I24">
        <v>1</v>
      </c>
      <c r="J24">
        <v>899</v>
      </c>
      <c r="K24" t="s">
        <v>110</v>
      </c>
      <c r="L24">
        <v>10</v>
      </c>
      <c r="M24" t="s">
        <v>64</v>
      </c>
      <c r="N24" t="s">
        <v>44</v>
      </c>
      <c r="O24" t="s">
        <v>177</v>
      </c>
      <c r="P24" t="s">
        <v>67</v>
      </c>
      <c r="Q24" t="s">
        <v>56</v>
      </c>
      <c r="R24" s="1" t="d">
        <v>2024-10-17</v>
      </c>
      <c r="S24" t="s">
        <v>33</v>
      </c>
      <c r="T24" t="s">
        <v>34</v>
      </c>
      <c r="W24" t="s">
        <v>35</v>
      </c>
      <c r="Y24" s="1" t="d">
        <f t="shared" si="0"/>
        <v>2024-09-30</v>
      </c>
      <c r="Z24">
        <f t="shared" si="1"/>
        <v>12</v>
      </c>
      <c r="AA24" t="str">
        <f t="shared" si="2"/>
        <v>Low (1-20%)</v>
      </c>
    </row>
    <row r="25" spans="1:27">
      <c r="A25" t="s">
        <v>178</v>
      </c>
      <c r="B25" s="1" t="d">
        <v>2024-10-06</v>
      </c>
      <c r="C25" t="s">
        <v>179</v>
      </c>
      <c r="D25" t="s">
        <v>25</v>
      </c>
      <c r="E25" t="s">
        <v>180</v>
      </c>
      <c r="F25" t="s">
        <v>53</v>
      </c>
      <c r="G25" t="s">
        <v>181</v>
      </c>
      <c r="H25">
        <v>1199</v>
      </c>
      <c r="I25">
        <v>3</v>
      </c>
      <c r="J25">
        <v>3597</v>
      </c>
      <c r="L25">
        <v>0</v>
      </c>
      <c r="M25" t="s">
        <v>55</v>
      </c>
      <c r="N25" t="s">
        <v>65</v>
      </c>
      <c r="O25" t="s">
        <v>182</v>
      </c>
      <c r="P25" t="s">
        <v>183</v>
      </c>
      <c r="Q25" t="s">
        <v>56</v>
      </c>
      <c r="R25" s="1" t="d">
        <v>2024-10-18</v>
      </c>
      <c r="S25" t="s">
        <v>33</v>
      </c>
      <c r="T25" t="s">
        <v>46</v>
      </c>
      <c r="U25" t="s">
        <v>79</v>
      </c>
      <c r="V25" s="1" t="d">
        <v>2024-11-05</v>
      </c>
      <c r="W25" t="s">
        <v>48</v>
      </c>
      <c r="Y25" s="1" t="d">
        <f t="shared" si="0"/>
        <v>2024-09-30</v>
      </c>
      <c r="Z25">
        <f t="shared" si="1"/>
        <v>12</v>
      </c>
      <c r="AA25" t="str">
        <f t="shared" si="2"/>
        <v>No Discount</v>
      </c>
    </row>
    <row r="26" spans="1:27">
      <c r="A26" t="s">
        <v>184</v>
      </c>
      <c r="B26" s="1" t="d">
        <v>2024-10-06</v>
      </c>
      <c r="C26" t="s">
        <v>185</v>
      </c>
      <c r="D26" t="s">
        <v>25</v>
      </c>
      <c r="E26" t="s">
        <v>186</v>
      </c>
      <c r="F26" t="s">
        <v>27</v>
      </c>
      <c r="G26" t="s">
        <v>187</v>
      </c>
      <c r="H26">
        <v>1799</v>
      </c>
      <c r="I26">
        <v>2</v>
      </c>
      <c r="J26">
        <v>3598</v>
      </c>
      <c r="L26">
        <v>0</v>
      </c>
      <c r="M26" t="s">
        <v>29</v>
      </c>
      <c r="N26" t="s">
        <v>30</v>
      </c>
      <c r="O26" t="s">
        <v>188</v>
      </c>
      <c r="P26" t="s">
        <v>189</v>
      </c>
      <c r="Q26" t="s">
        <v>56</v>
      </c>
      <c r="R26" s="1" t="d">
        <v>2024-10-17</v>
      </c>
      <c r="S26" t="s">
        <v>33</v>
      </c>
      <c r="T26" t="s">
        <v>34</v>
      </c>
      <c r="W26" t="s">
        <v>35</v>
      </c>
      <c r="Y26" s="1" t="d">
        <f t="shared" si="0"/>
        <v>2024-09-30</v>
      </c>
      <c r="Z26">
        <f t="shared" si="1"/>
        <v>11</v>
      </c>
      <c r="AA26" t="str">
        <f t="shared" si="2"/>
        <v>No Discount</v>
      </c>
    </row>
    <row r="27" spans="1:27">
      <c r="A27" t="s">
        <v>190</v>
      </c>
      <c r="B27" s="1" t="d">
        <v>2024-10-06</v>
      </c>
      <c r="C27" t="s">
        <v>191</v>
      </c>
      <c r="D27" t="s">
        <v>25</v>
      </c>
      <c r="E27" t="s">
        <v>192</v>
      </c>
      <c r="F27" t="s">
        <v>40</v>
      </c>
      <c r="G27" t="s">
        <v>193</v>
      </c>
      <c r="H27">
        <v>2699</v>
      </c>
      <c r="I27">
        <v>1</v>
      </c>
      <c r="J27">
        <v>2699</v>
      </c>
      <c r="L27">
        <v>0</v>
      </c>
      <c r="M27" t="s">
        <v>43</v>
      </c>
      <c r="N27" t="s">
        <v>44</v>
      </c>
      <c r="O27" t="s">
        <v>194</v>
      </c>
      <c r="P27" t="s">
        <v>183</v>
      </c>
      <c r="Q27" t="s">
        <v>56</v>
      </c>
      <c r="R27" s="1" t="d">
        <v>2024-10-18</v>
      </c>
      <c r="S27" t="s">
        <v>33</v>
      </c>
      <c r="T27" t="s">
        <v>34</v>
      </c>
      <c r="W27" t="s">
        <v>35</v>
      </c>
      <c r="Y27" s="1" t="d">
        <f t="shared" si="0"/>
        <v>2024-09-30</v>
      </c>
      <c r="Z27">
        <f t="shared" si="1"/>
        <v>12</v>
      </c>
      <c r="AA27" t="str">
        <f t="shared" si="2"/>
        <v>No Discount</v>
      </c>
    </row>
    <row r="28" spans="1:27">
      <c r="A28" t="s">
        <v>195</v>
      </c>
      <c r="B28" s="1" t="d">
        <v>2024-10-06</v>
      </c>
      <c r="C28" t="s">
        <v>196</v>
      </c>
      <c r="D28" t="s">
        <v>38</v>
      </c>
      <c r="E28" t="s">
        <v>197</v>
      </c>
      <c r="F28" t="s">
        <v>61</v>
      </c>
      <c r="G28" t="s">
        <v>198</v>
      </c>
      <c r="H28">
        <v>4599</v>
      </c>
      <c r="I28">
        <v>1</v>
      </c>
      <c r="J28">
        <v>4599</v>
      </c>
      <c r="K28" t="s">
        <v>110</v>
      </c>
      <c r="L28">
        <v>10</v>
      </c>
      <c r="M28" t="s">
        <v>64</v>
      </c>
      <c r="N28" t="s">
        <v>30</v>
      </c>
      <c r="O28" t="s">
        <v>199</v>
      </c>
      <c r="P28" t="s">
        <v>57</v>
      </c>
      <c r="Q28" t="s">
        <v>56</v>
      </c>
      <c r="R28" s="1" t="d">
        <v>2024-10-19</v>
      </c>
      <c r="S28" t="s">
        <v>33</v>
      </c>
      <c r="T28" t="s">
        <v>46</v>
      </c>
      <c r="U28" t="s">
        <v>47</v>
      </c>
      <c r="V28" s="1" t="d">
        <v>2024-11-08</v>
      </c>
      <c r="W28" t="s">
        <v>48</v>
      </c>
      <c r="Y28" s="1" t="d">
        <f t="shared" si="0"/>
        <v>2024-09-30</v>
      </c>
      <c r="Z28">
        <f t="shared" si="1"/>
        <v>13</v>
      </c>
      <c r="AA28" t="str">
        <f t="shared" si="2"/>
        <v>Low (1-20%)</v>
      </c>
    </row>
    <row r="29" spans="1:27">
      <c r="A29" t="s">
        <v>200</v>
      </c>
      <c r="B29" s="1" t="d">
        <v>2024-10-07</v>
      </c>
      <c r="C29" t="s">
        <v>201</v>
      </c>
      <c r="D29" t="s">
        <v>25</v>
      </c>
      <c r="E29" t="s">
        <v>202</v>
      </c>
      <c r="F29" t="s">
        <v>71</v>
      </c>
      <c r="G29" t="s">
        <v>203</v>
      </c>
      <c r="H29">
        <v>1099</v>
      </c>
      <c r="I29">
        <v>1</v>
      </c>
      <c r="J29">
        <v>1099</v>
      </c>
      <c r="L29">
        <v>0</v>
      </c>
      <c r="M29" t="s">
        <v>29</v>
      </c>
      <c r="N29" t="s">
        <v>65</v>
      </c>
      <c r="O29" t="s">
        <v>204</v>
      </c>
      <c r="P29" t="s">
        <v>97</v>
      </c>
      <c r="Q29" t="s">
        <v>31</v>
      </c>
      <c r="R29" s="1" t="d">
        <v>2024-10-20</v>
      </c>
      <c r="S29" t="s">
        <v>33</v>
      </c>
      <c r="T29" t="s">
        <v>34</v>
      </c>
      <c r="W29" t="s">
        <v>35</v>
      </c>
      <c r="Y29" s="1" t="d">
        <f t="shared" si="0"/>
        <v>2024-10-07</v>
      </c>
      <c r="Z29">
        <f t="shared" si="1"/>
        <v>13</v>
      </c>
      <c r="AA29" t="str">
        <f t="shared" si="2"/>
        <v>No Discount</v>
      </c>
    </row>
    <row r="30" spans="1:27">
      <c r="A30" t="s">
        <v>205</v>
      </c>
      <c r="B30" s="1" t="d">
        <v>2024-10-07</v>
      </c>
      <c r="C30" t="s">
        <v>206</v>
      </c>
      <c r="D30" t="s">
        <v>25</v>
      </c>
      <c r="E30" t="s">
        <v>207</v>
      </c>
      <c r="F30" t="s">
        <v>27</v>
      </c>
      <c r="G30" t="s">
        <v>208</v>
      </c>
      <c r="H30">
        <v>1899</v>
      </c>
      <c r="I30">
        <v>1</v>
      </c>
      <c r="J30">
        <v>1899</v>
      </c>
      <c r="L30">
        <v>0</v>
      </c>
      <c r="M30" t="s">
        <v>55</v>
      </c>
      <c r="N30" t="s">
        <v>44</v>
      </c>
      <c r="O30" t="s">
        <v>209</v>
      </c>
      <c r="P30" t="s">
        <v>97</v>
      </c>
      <c r="Q30" t="s">
        <v>31</v>
      </c>
      <c r="S30" t="s">
        <v>120</v>
      </c>
      <c r="T30" t="s">
        <v>34</v>
      </c>
      <c r="W30" t="s">
        <v>35</v>
      </c>
      <c r="Y30" s="1" t="d">
        <f t="shared" si="0"/>
        <v>2024-10-07</v>
      </c>
      <c r="Z30" t="str">
        <f t="shared" si="1"/>
        <v/>
      </c>
      <c r="AA30" t="str">
        <f t="shared" si="2"/>
        <v>No Discount</v>
      </c>
    </row>
    <row r="31" spans="1:27">
      <c r="A31" t="s">
        <v>210</v>
      </c>
      <c r="B31" s="1" t="d">
        <v>2024-10-07</v>
      </c>
      <c r="C31" t="s">
        <v>211</v>
      </c>
      <c r="D31" t="s">
        <v>25</v>
      </c>
      <c r="E31" t="s">
        <v>212</v>
      </c>
      <c r="F31" t="s">
        <v>53</v>
      </c>
      <c r="G31" t="s">
        <v>213</v>
      </c>
      <c r="H31">
        <v>2199</v>
      </c>
      <c r="I31">
        <v>1</v>
      </c>
      <c r="J31">
        <v>2199</v>
      </c>
      <c r="K31" t="s">
        <v>42</v>
      </c>
      <c r="L31">
        <v>20</v>
      </c>
      <c r="M31" t="s">
        <v>43</v>
      </c>
      <c r="N31" t="s">
        <v>30</v>
      </c>
      <c r="O31" t="s">
        <v>214</v>
      </c>
      <c r="P31" t="s">
        <v>113</v>
      </c>
      <c r="Q31" t="s">
        <v>45</v>
      </c>
      <c r="R31" s="1" t="d">
        <v>2024-10-20</v>
      </c>
      <c r="S31" t="s">
        <v>33</v>
      </c>
      <c r="T31" t="s">
        <v>34</v>
      </c>
      <c r="W31" t="s">
        <v>35</v>
      </c>
      <c r="Y31" s="1" t="d">
        <f t="shared" si="0"/>
        <v>2024-10-07</v>
      </c>
      <c r="Z31">
        <f t="shared" si="1"/>
        <v>13</v>
      </c>
      <c r="AA31" t="str">
        <f t="shared" si="2"/>
        <v>Low (1-20%)</v>
      </c>
    </row>
    <row r="32" spans="1:27">
      <c r="A32" t="s">
        <v>215</v>
      </c>
      <c r="B32" s="1" t="d">
        <v>2024-10-07</v>
      </c>
      <c r="C32" t="s">
        <v>216</v>
      </c>
      <c r="D32" t="s">
        <v>38</v>
      </c>
      <c r="E32" t="s">
        <v>217</v>
      </c>
      <c r="F32" t="s">
        <v>40</v>
      </c>
      <c r="G32" t="s">
        <v>218</v>
      </c>
      <c r="H32">
        <v>5499</v>
      </c>
      <c r="I32">
        <v>1</v>
      </c>
      <c r="J32">
        <v>5499</v>
      </c>
      <c r="L32">
        <v>0</v>
      </c>
      <c r="M32" t="s">
        <v>43</v>
      </c>
      <c r="N32" t="s">
        <v>44</v>
      </c>
      <c r="O32" t="s">
        <v>31</v>
      </c>
      <c r="P32" t="s">
        <v>32</v>
      </c>
      <c r="Q32" t="s">
        <v>31</v>
      </c>
      <c r="R32" s="1" t="d">
        <v>2024-10-21</v>
      </c>
      <c r="S32" t="s">
        <v>33</v>
      </c>
      <c r="T32" t="s">
        <v>46</v>
      </c>
      <c r="U32" t="s">
        <v>47</v>
      </c>
      <c r="V32" s="1" t="d">
        <v>2024-11-10</v>
      </c>
      <c r="W32" t="s">
        <v>48</v>
      </c>
      <c r="Y32" s="1" t="d">
        <f t="shared" si="0"/>
        <v>2024-10-07</v>
      </c>
      <c r="Z32">
        <f t="shared" si="1"/>
        <v>14</v>
      </c>
      <c r="AA32" t="str">
        <f t="shared" si="2"/>
        <v>No Discount</v>
      </c>
    </row>
    <row r="33" spans="1:27">
      <c r="A33" t="s">
        <v>219</v>
      </c>
      <c r="B33" s="1" t="d">
        <v>2024-10-08</v>
      </c>
      <c r="C33" t="s">
        <v>220</v>
      </c>
      <c r="D33" t="s">
        <v>25</v>
      </c>
      <c r="E33" t="s">
        <v>221</v>
      </c>
      <c r="F33" t="s">
        <v>27</v>
      </c>
      <c r="G33" t="s">
        <v>222</v>
      </c>
      <c r="H33">
        <v>899</v>
      </c>
      <c r="I33">
        <v>2</v>
      </c>
      <c r="J33">
        <v>1798</v>
      </c>
      <c r="L33">
        <v>0</v>
      </c>
      <c r="M33" t="s">
        <v>29</v>
      </c>
      <c r="N33" t="s">
        <v>30</v>
      </c>
      <c r="O33" t="s">
        <v>45</v>
      </c>
      <c r="P33" t="s">
        <v>45</v>
      </c>
      <c r="Q33" t="s">
        <v>45</v>
      </c>
      <c r="R33" s="1" t="d">
        <v>2024-10-14</v>
      </c>
      <c r="S33" t="s">
        <v>33</v>
      </c>
      <c r="T33" t="s">
        <v>34</v>
      </c>
      <c r="W33" t="s">
        <v>35</v>
      </c>
      <c r="Y33" s="1" t="d">
        <f t="shared" si="0"/>
        <v>2024-10-07</v>
      </c>
      <c r="Z33">
        <f t="shared" si="1"/>
        <v>6</v>
      </c>
      <c r="AA33" t="str">
        <f t="shared" si="2"/>
        <v>No Discount</v>
      </c>
    </row>
    <row r="34" spans="1:27">
      <c r="A34" t="s">
        <v>223</v>
      </c>
      <c r="B34" s="1" t="d">
        <v>2024-10-08</v>
      </c>
      <c r="C34" t="s">
        <v>224</v>
      </c>
      <c r="D34" t="s">
        <v>25</v>
      </c>
      <c r="E34" t="s">
        <v>225</v>
      </c>
      <c r="F34" t="s">
        <v>61</v>
      </c>
      <c r="G34" t="s">
        <v>226</v>
      </c>
      <c r="H34">
        <v>6999</v>
      </c>
      <c r="I34">
        <v>1</v>
      </c>
      <c r="J34">
        <v>6999</v>
      </c>
      <c r="K34" t="s">
        <v>63</v>
      </c>
      <c r="L34">
        <v>15</v>
      </c>
      <c r="M34" t="s">
        <v>64</v>
      </c>
      <c r="N34" t="s">
        <v>65</v>
      </c>
      <c r="O34" t="s">
        <v>90</v>
      </c>
      <c r="P34" t="s">
        <v>91</v>
      </c>
      <c r="Q34" t="s">
        <v>45</v>
      </c>
      <c r="R34" s="1" t="d">
        <v>2024-10-16</v>
      </c>
      <c r="S34" t="s">
        <v>33</v>
      </c>
      <c r="T34" t="s">
        <v>46</v>
      </c>
      <c r="U34" t="s">
        <v>68</v>
      </c>
      <c r="V34" s="1" t="d">
        <v>2024-11-05</v>
      </c>
      <c r="W34" t="s">
        <v>48</v>
      </c>
      <c r="Y34" s="1" t="d">
        <f t="shared" si="0"/>
        <v>2024-10-07</v>
      </c>
      <c r="Z34">
        <f t="shared" si="1"/>
        <v>8</v>
      </c>
      <c r="AA34" t="str">
        <f t="shared" si="2"/>
        <v>Low (1-20%)</v>
      </c>
    </row>
    <row r="35" spans="1:27">
      <c r="A35" t="s">
        <v>227</v>
      </c>
      <c r="B35" s="1" t="d">
        <v>2024-10-08</v>
      </c>
      <c r="C35" t="s">
        <v>228</v>
      </c>
      <c r="D35" t="s">
        <v>38</v>
      </c>
      <c r="E35" t="s">
        <v>229</v>
      </c>
      <c r="F35" t="s">
        <v>71</v>
      </c>
      <c r="G35" t="s">
        <v>230</v>
      </c>
      <c r="H35">
        <v>2999</v>
      </c>
      <c r="I35">
        <v>1</v>
      </c>
      <c r="J35">
        <v>2999</v>
      </c>
      <c r="L35">
        <v>0</v>
      </c>
      <c r="M35" t="s">
        <v>43</v>
      </c>
      <c r="N35" t="s">
        <v>44</v>
      </c>
      <c r="O35" t="s">
        <v>66</v>
      </c>
      <c r="P35" t="s">
        <v>67</v>
      </c>
      <c r="Q35" t="s">
        <v>56</v>
      </c>
      <c r="R35" s="1" t="d">
        <v>2024-10-15</v>
      </c>
      <c r="S35" t="s">
        <v>33</v>
      </c>
      <c r="T35" t="s">
        <v>34</v>
      </c>
      <c r="W35" t="s">
        <v>35</v>
      </c>
      <c r="Y35" s="1" t="d">
        <f t="shared" si="0"/>
        <v>2024-10-07</v>
      </c>
      <c r="Z35">
        <f t="shared" si="1"/>
        <v>7</v>
      </c>
      <c r="AA35" t="str">
        <f t="shared" si="2"/>
        <v>No Discount</v>
      </c>
    </row>
    <row r="36" spans="1:27">
      <c r="A36" t="s">
        <v>231</v>
      </c>
      <c r="B36" s="1" t="d">
        <v>2024-10-08</v>
      </c>
      <c r="C36" t="s">
        <v>232</v>
      </c>
      <c r="D36" t="s">
        <v>25</v>
      </c>
      <c r="E36" t="s">
        <v>233</v>
      </c>
      <c r="F36" t="s">
        <v>53</v>
      </c>
      <c r="G36" t="s">
        <v>234</v>
      </c>
      <c r="H36">
        <v>1599</v>
      </c>
      <c r="I36">
        <v>1</v>
      </c>
      <c r="J36">
        <v>1599</v>
      </c>
      <c r="L36">
        <v>0</v>
      </c>
      <c r="M36" t="s">
        <v>55</v>
      </c>
      <c r="N36" t="s">
        <v>30</v>
      </c>
      <c r="O36" t="s">
        <v>77</v>
      </c>
      <c r="P36" t="s">
        <v>78</v>
      </c>
      <c r="Q36" t="s">
        <v>56</v>
      </c>
      <c r="R36" s="1" t="d">
        <v>2024-10-17</v>
      </c>
      <c r="S36" t="s">
        <v>33</v>
      </c>
      <c r="T36" t="s">
        <v>46</v>
      </c>
      <c r="U36" t="s">
        <v>47</v>
      </c>
      <c r="V36" s="1" t="d">
        <v>2024-11-08</v>
      </c>
      <c r="W36" t="s">
        <v>48</v>
      </c>
      <c r="Y36" s="1" t="d">
        <f t="shared" si="0"/>
        <v>2024-10-07</v>
      </c>
      <c r="Z36">
        <f t="shared" si="1"/>
        <v>9</v>
      </c>
      <c r="AA36" t="str">
        <f t="shared" si="2"/>
        <v>No Discount</v>
      </c>
    </row>
    <row r="37" spans="1:27">
      <c r="A37" t="s">
        <v>235</v>
      </c>
      <c r="B37" s="1" t="d">
        <v>2024-10-09</v>
      </c>
      <c r="C37" t="s">
        <v>236</v>
      </c>
      <c r="D37" t="s">
        <v>25</v>
      </c>
      <c r="E37" t="s">
        <v>237</v>
      </c>
      <c r="F37" t="s">
        <v>40</v>
      </c>
      <c r="G37" t="s">
        <v>238</v>
      </c>
      <c r="H37">
        <v>1999</v>
      </c>
      <c r="I37">
        <v>1</v>
      </c>
      <c r="J37">
        <v>1999</v>
      </c>
      <c r="K37" t="s">
        <v>42</v>
      </c>
      <c r="L37">
        <v>20</v>
      </c>
      <c r="M37" t="s">
        <v>111</v>
      </c>
      <c r="N37" t="s">
        <v>44</v>
      </c>
      <c r="O37" t="s">
        <v>84</v>
      </c>
      <c r="P37" t="s">
        <v>32</v>
      </c>
      <c r="Q37" t="s">
        <v>31</v>
      </c>
      <c r="R37" s="1" t="d">
        <v>2024-10-16</v>
      </c>
      <c r="S37" t="s">
        <v>33</v>
      </c>
      <c r="T37" t="s">
        <v>34</v>
      </c>
      <c r="W37" t="s">
        <v>35</v>
      </c>
      <c r="Y37" s="1" t="d">
        <f t="shared" si="0"/>
        <v>2024-10-07</v>
      </c>
      <c r="Z37">
        <f t="shared" si="1"/>
        <v>7</v>
      </c>
      <c r="AA37" t="str">
        <f t="shared" si="2"/>
        <v>Low (1-20%)</v>
      </c>
    </row>
    <row r="38" spans="1:27">
      <c r="A38" t="s">
        <v>239</v>
      </c>
      <c r="B38" s="1" t="d">
        <v>2024-10-09</v>
      </c>
      <c r="C38" t="s">
        <v>240</v>
      </c>
      <c r="D38" t="s">
        <v>25</v>
      </c>
      <c r="E38" t="s">
        <v>241</v>
      </c>
      <c r="F38" t="s">
        <v>27</v>
      </c>
      <c r="G38" t="s">
        <v>242</v>
      </c>
      <c r="H38">
        <v>1799</v>
      </c>
      <c r="I38">
        <v>1</v>
      </c>
      <c r="J38">
        <v>1799</v>
      </c>
      <c r="L38">
        <v>0</v>
      </c>
      <c r="M38" t="s">
        <v>29</v>
      </c>
      <c r="N38" t="s">
        <v>65</v>
      </c>
      <c r="O38" t="s">
        <v>96</v>
      </c>
      <c r="P38" t="s">
        <v>97</v>
      </c>
      <c r="Q38" t="s">
        <v>31</v>
      </c>
      <c r="R38" s="1" t="d">
        <v>2024-10-17</v>
      </c>
      <c r="S38" t="s">
        <v>33</v>
      </c>
      <c r="T38" t="s">
        <v>46</v>
      </c>
      <c r="U38" t="s">
        <v>79</v>
      </c>
      <c r="V38" s="1" t="d">
        <v>2024-11-12</v>
      </c>
      <c r="W38" t="s">
        <v>48</v>
      </c>
      <c r="Y38" s="1" t="d">
        <f t="shared" si="0"/>
        <v>2024-10-07</v>
      </c>
      <c r="Z38">
        <f t="shared" si="1"/>
        <v>8</v>
      </c>
      <c r="AA38" t="str">
        <f t="shared" si="2"/>
        <v>No Discount</v>
      </c>
    </row>
    <row r="39" spans="1:27">
      <c r="A39" t="s">
        <v>243</v>
      </c>
      <c r="B39" s="1" t="d">
        <v>2024-10-09</v>
      </c>
      <c r="C39" t="s">
        <v>244</v>
      </c>
      <c r="D39" t="s">
        <v>38</v>
      </c>
      <c r="E39" t="s">
        <v>245</v>
      </c>
      <c r="F39" t="s">
        <v>61</v>
      </c>
      <c r="G39" t="s">
        <v>246</v>
      </c>
      <c r="H39">
        <v>7999</v>
      </c>
      <c r="I39">
        <v>1</v>
      </c>
      <c r="J39">
        <v>7999</v>
      </c>
      <c r="L39">
        <v>0</v>
      </c>
      <c r="M39" t="s">
        <v>43</v>
      </c>
      <c r="N39" t="s">
        <v>30</v>
      </c>
      <c r="O39" t="s">
        <v>102</v>
      </c>
      <c r="P39" t="s">
        <v>103</v>
      </c>
      <c r="Q39" t="s">
        <v>45</v>
      </c>
      <c r="R39" s="1" t="d">
        <v>2024-10-18</v>
      </c>
      <c r="S39" t="s">
        <v>33</v>
      </c>
      <c r="T39" t="s">
        <v>34</v>
      </c>
      <c r="W39" t="s">
        <v>35</v>
      </c>
      <c r="Y39" s="1" t="d">
        <f t="shared" si="0"/>
        <v>2024-10-07</v>
      </c>
      <c r="Z39">
        <f t="shared" si="1"/>
        <v>9</v>
      </c>
      <c r="AA39" t="str">
        <f t="shared" si="2"/>
        <v>No Discount</v>
      </c>
    </row>
    <row r="40" spans="1:27">
      <c r="A40" t="s">
        <v>247</v>
      </c>
      <c r="B40" s="1" t="d">
        <v>2024-10-09</v>
      </c>
      <c r="C40" t="s">
        <v>248</v>
      </c>
      <c r="D40" t="s">
        <v>25</v>
      </c>
      <c r="E40" t="s">
        <v>249</v>
      </c>
      <c r="F40" t="s">
        <v>71</v>
      </c>
      <c r="G40" t="s">
        <v>250</v>
      </c>
      <c r="H40">
        <v>1499</v>
      </c>
      <c r="I40">
        <v>1</v>
      </c>
      <c r="J40">
        <v>1499</v>
      </c>
      <c r="K40" t="s">
        <v>110</v>
      </c>
      <c r="L40">
        <v>10</v>
      </c>
      <c r="M40" t="s">
        <v>64</v>
      </c>
      <c r="N40" t="s">
        <v>44</v>
      </c>
      <c r="O40" t="s">
        <v>112</v>
      </c>
      <c r="P40" t="s">
        <v>113</v>
      </c>
      <c r="Q40" t="s">
        <v>45</v>
      </c>
      <c r="R40" s="1" t="d">
        <v>2024-10-17</v>
      </c>
      <c r="S40" t="s">
        <v>33</v>
      </c>
      <c r="T40" t="s">
        <v>34</v>
      </c>
      <c r="W40" t="s">
        <v>35</v>
      </c>
      <c r="Y40" s="1" t="d">
        <f t="shared" si="0"/>
        <v>2024-10-07</v>
      </c>
      <c r="Z40">
        <f t="shared" si="1"/>
        <v>8</v>
      </c>
      <c r="AA40" t="str">
        <f t="shared" si="2"/>
        <v>Low (1-20%)</v>
      </c>
    </row>
    <row r="41" spans="1:27">
      <c r="A41" t="s">
        <v>251</v>
      </c>
      <c r="B41" s="1" t="d">
        <v>2024-10-10</v>
      </c>
      <c r="C41" t="s">
        <v>252</v>
      </c>
      <c r="D41" t="s">
        <v>25</v>
      </c>
      <c r="E41" t="s">
        <v>253</v>
      </c>
      <c r="F41" t="s">
        <v>53</v>
      </c>
      <c r="G41" t="s">
        <v>254</v>
      </c>
      <c r="H41">
        <v>1699</v>
      </c>
      <c r="I41">
        <v>1</v>
      </c>
      <c r="J41">
        <v>1699</v>
      </c>
      <c r="L41">
        <v>0</v>
      </c>
      <c r="M41" t="s">
        <v>55</v>
      </c>
      <c r="N41" t="s">
        <v>30</v>
      </c>
      <c r="O41" t="s">
        <v>56</v>
      </c>
      <c r="P41" t="s">
        <v>57</v>
      </c>
      <c r="Q41" t="s">
        <v>56</v>
      </c>
      <c r="R41" s="1" t="d">
        <v>2024-10-19</v>
      </c>
      <c r="S41" t="s">
        <v>33</v>
      </c>
      <c r="T41" t="s">
        <v>46</v>
      </c>
      <c r="U41" t="s">
        <v>47</v>
      </c>
      <c r="V41" s="1" t="d">
        <v>2024-11-10</v>
      </c>
      <c r="W41" t="s">
        <v>48</v>
      </c>
      <c r="Y41" s="1" t="d">
        <f t="shared" si="0"/>
        <v>2024-10-07</v>
      </c>
      <c r="Z41">
        <f t="shared" si="1"/>
        <v>9</v>
      </c>
      <c r="AA41" t="str">
        <f t="shared" si="2"/>
        <v>No Discount</v>
      </c>
    </row>
    <row r="42" spans="1:27">
      <c r="A42" t="s">
        <v>255</v>
      </c>
      <c r="B42" s="1" t="d">
        <v>2024-10-10</v>
      </c>
      <c r="C42" t="s">
        <v>256</v>
      </c>
      <c r="D42" t="s">
        <v>25</v>
      </c>
      <c r="E42" t="s">
        <v>257</v>
      </c>
      <c r="F42" t="s">
        <v>40</v>
      </c>
      <c r="G42" t="s">
        <v>258</v>
      </c>
      <c r="H42">
        <v>2299</v>
      </c>
      <c r="I42">
        <v>1</v>
      </c>
      <c r="J42">
        <v>2299</v>
      </c>
      <c r="L42">
        <v>0</v>
      </c>
      <c r="M42" t="s">
        <v>29</v>
      </c>
      <c r="N42" t="s">
        <v>65</v>
      </c>
      <c r="O42" t="s">
        <v>31</v>
      </c>
      <c r="P42" t="s">
        <v>32</v>
      </c>
      <c r="Q42" t="s">
        <v>31</v>
      </c>
      <c r="R42" s="1" t="d">
        <v>2024-10-18</v>
      </c>
      <c r="S42" t="s">
        <v>33</v>
      </c>
      <c r="T42" t="s">
        <v>34</v>
      </c>
      <c r="W42" t="s">
        <v>35</v>
      </c>
      <c r="Y42" s="1" t="d">
        <f t="shared" si="0"/>
        <v>2024-10-07</v>
      </c>
      <c r="Z42">
        <f t="shared" si="1"/>
        <v>8</v>
      </c>
      <c r="AA42" t="str">
        <f t="shared" si="2"/>
        <v>No Discount</v>
      </c>
    </row>
    <row r="43" spans="1:27">
      <c r="A43" t="s">
        <v>259</v>
      </c>
      <c r="B43" s="1" t="d">
        <v>2024-10-10</v>
      </c>
      <c r="C43" t="s">
        <v>260</v>
      </c>
      <c r="D43" t="s">
        <v>38</v>
      </c>
      <c r="E43" t="s">
        <v>261</v>
      </c>
      <c r="F43" t="s">
        <v>27</v>
      </c>
      <c r="G43" t="s">
        <v>262</v>
      </c>
      <c r="H43">
        <v>1599</v>
      </c>
      <c r="I43">
        <v>2</v>
      </c>
      <c r="J43">
        <v>3198</v>
      </c>
      <c r="K43" t="s">
        <v>42</v>
      </c>
      <c r="L43">
        <v>20</v>
      </c>
      <c r="M43" t="s">
        <v>43</v>
      </c>
      <c r="N43" t="s">
        <v>44</v>
      </c>
      <c r="O43" t="s">
        <v>45</v>
      </c>
      <c r="P43" t="s">
        <v>45</v>
      </c>
      <c r="Q43" t="s">
        <v>45</v>
      </c>
      <c r="R43" s="1" t="d">
        <v>2024-10-17</v>
      </c>
      <c r="S43" t="s">
        <v>33</v>
      </c>
      <c r="T43" t="s">
        <v>46</v>
      </c>
      <c r="U43" t="s">
        <v>104</v>
      </c>
      <c r="V43" s="1" t="d">
        <v>2024-11-08</v>
      </c>
      <c r="W43" t="s">
        <v>48</v>
      </c>
      <c r="Y43" s="1" t="d">
        <f t="shared" si="0"/>
        <v>2024-10-07</v>
      </c>
      <c r="Z43">
        <f t="shared" si="1"/>
        <v>7</v>
      </c>
      <c r="AA43" t="str">
        <f t="shared" si="2"/>
        <v>Low (1-20%)</v>
      </c>
    </row>
    <row r="44" spans="1:27">
      <c r="A44" t="s">
        <v>263</v>
      </c>
      <c r="B44" s="1" t="d">
        <v>2024-10-10</v>
      </c>
      <c r="C44" t="s">
        <v>264</v>
      </c>
      <c r="D44" t="s">
        <v>25</v>
      </c>
      <c r="E44" t="s">
        <v>265</v>
      </c>
      <c r="F44" t="s">
        <v>61</v>
      </c>
      <c r="G44" t="s">
        <v>266</v>
      </c>
      <c r="H44">
        <v>2499</v>
      </c>
      <c r="I44">
        <v>1</v>
      </c>
      <c r="J44">
        <v>2499</v>
      </c>
      <c r="L44">
        <v>0</v>
      </c>
      <c r="M44" t="s">
        <v>111</v>
      </c>
      <c r="N44" t="s">
        <v>30</v>
      </c>
      <c r="O44" t="s">
        <v>118</v>
      </c>
      <c r="P44" t="s">
        <v>119</v>
      </c>
      <c r="Q44" t="s">
        <v>45</v>
      </c>
      <c r="R44" s="1" t="d">
        <v>2024-10-20</v>
      </c>
      <c r="S44" t="s">
        <v>33</v>
      </c>
      <c r="T44" t="s">
        <v>34</v>
      </c>
      <c r="W44" t="s">
        <v>35</v>
      </c>
      <c r="Y44" s="1" t="d">
        <f t="shared" si="0"/>
        <v>2024-10-07</v>
      </c>
      <c r="Z44">
        <f t="shared" si="1"/>
        <v>10</v>
      </c>
      <c r="AA44" t="str">
        <f t="shared" si="2"/>
        <v>No Discount</v>
      </c>
    </row>
    <row r="45" spans="1:27">
      <c r="A45" t="s">
        <v>267</v>
      </c>
      <c r="B45" s="1" t="d">
        <v>2024-10-11</v>
      </c>
      <c r="C45" t="s">
        <v>268</v>
      </c>
      <c r="D45" t="s">
        <v>25</v>
      </c>
      <c r="E45" t="s">
        <v>269</v>
      </c>
      <c r="F45" t="s">
        <v>71</v>
      </c>
      <c r="G45" t="s">
        <v>270</v>
      </c>
      <c r="H45">
        <v>1899</v>
      </c>
      <c r="I45">
        <v>1</v>
      </c>
      <c r="J45">
        <v>1899</v>
      </c>
      <c r="L45">
        <v>0</v>
      </c>
      <c r="M45" t="s">
        <v>64</v>
      </c>
      <c r="N45" t="s">
        <v>65</v>
      </c>
      <c r="O45" t="s">
        <v>137</v>
      </c>
      <c r="P45" t="s">
        <v>113</v>
      </c>
      <c r="Q45" t="s">
        <v>45</v>
      </c>
      <c r="R45" s="1" t="d">
        <v>2024-10-21</v>
      </c>
      <c r="S45" t="s">
        <v>33</v>
      </c>
      <c r="T45" t="s">
        <v>46</v>
      </c>
      <c r="U45" t="s">
        <v>138</v>
      </c>
      <c r="V45" s="1" t="d">
        <v>2024-11-12</v>
      </c>
      <c r="W45" t="s">
        <v>48</v>
      </c>
      <c r="Y45" s="1" t="d">
        <f t="shared" si="0"/>
        <v>2024-10-07</v>
      </c>
      <c r="Z45">
        <f t="shared" si="1"/>
        <v>10</v>
      </c>
      <c r="AA45" t="str">
        <f t="shared" si="2"/>
        <v>No Discount</v>
      </c>
    </row>
    <row r="46" spans="1:27">
      <c r="A46" t="s">
        <v>271</v>
      </c>
      <c r="B46" s="1" t="d">
        <v>2024-10-11</v>
      </c>
      <c r="C46" t="s">
        <v>272</v>
      </c>
      <c r="D46" t="s">
        <v>25</v>
      </c>
      <c r="E46" t="s">
        <v>273</v>
      </c>
      <c r="F46" t="s">
        <v>53</v>
      </c>
      <c r="G46" t="s">
        <v>274</v>
      </c>
      <c r="H46">
        <v>1999</v>
      </c>
      <c r="I46">
        <v>1</v>
      </c>
      <c r="J46">
        <v>1999</v>
      </c>
      <c r="K46" t="s">
        <v>63</v>
      </c>
      <c r="L46">
        <v>15</v>
      </c>
      <c r="M46" t="s">
        <v>29</v>
      </c>
      <c r="N46" t="s">
        <v>44</v>
      </c>
      <c r="O46" t="s">
        <v>143</v>
      </c>
      <c r="P46" t="s">
        <v>144</v>
      </c>
      <c r="Q46" t="s">
        <v>45</v>
      </c>
      <c r="R46" s="1" t="d">
        <v>2024-10-19</v>
      </c>
      <c r="S46" t="s">
        <v>33</v>
      </c>
      <c r="T46" t="s">
        <v>34</v>
      </c>
      <c r="W46" t="s">
        <v>35</v>
      </c>
      <c r="Y46" s="1" t="d">
        <f t="shared" si="0"/>
        <v>2024-10-07</v>
      </c>
      <c r="Z46">
        <f t="shared" si="1"/>
        <v>8</v>
      </c>
      <c r="AA46" t="str">
        <f t="shared" si="2"/>
        <v>Low (1-20%)</v>
      </c>
    </row>
    <row r="47" spans="1:27">
      <c r="A47" t="s">
        <v>275</v>
      </c>
      <c r="B47" s="1" t="d">
        <v>2024-10-11</v>
      </c>
      <c r="C47" t="s">
        <v>276</v>
      </c>
      <c r="D47" t="s">
        <v>38</v>
      </c>
      <c r="E47" t="s">
        <v>277</v>
      </c>
      <c r="F47" t="s">
        <v>40</v>
      </c>
      <c r="G47" t="s">
        <v>278</v>
      </c>
      <c r="H47">
        <v>2599</v>
      </c>
      <c r="I47">
        <v>1</v>
      </c>
      <c r="J47">
        <v>2599</v>
      </c>
      <c r="L47">
        <v>0</v>
      </c>
      <c r="M47" t="s">
        <v>43</v>
      </c>
      <c r="N47" t="s">
        <v>30</v>
      </c>
      <c r="O47" t="s">
        <v>150</v>
      </c>
      <c r="P47" t="s">
        <v>151</v>
      </c>
      <c r="Q47" t="s">
        <v>31</v>
      </c>
      <c r="R47" s="1" t="d">
        <v>2024-10-20</v>
      </c>
      <c r="S47" t="s">
        <v>33</v>
      </c>
      <c r="T47" t="s">
        <v>34</v>
      </c>
      <c r="W47" t="s">
        <v>35</v>
      </c>
      <c r="Y47" s="1" t="d">
        <f t="shared" si="0"/>
        <v>2024-10-07</v>
      </c>
      <c r="Z47">
        <f t="shared" si="1"/>
        <v>9</v>
      </c>
      <c r="AA47" t="str">
        <f t="shared" si="2"/>
        <v>No Discount</v>
      </c>
    </row>
    <row r="48" spans="1:27">
      <c r="A48" t="s">
        <v>279</v>
      </c>
      <c r="B48" s="1" t="d">
        <v>2024-10-11</v>
      </c>
      <c r="C48" t="s">
        <v>280</v>
      </c>
      <c r="D48" t="s">
        <v>25</v>
      </c>
      <c r="E48" t="s">
        <v>281</v>
      </c>
      <c r="F48" t="s">
        <v>27</v>
      </c>
      <c r="G48" t="s">
        <v>282</v>
      </c>
      <c r="H48">
        <v>1299</v>
      </c>
      <c r="I48">
        <v>1</v>
      </c>
      <c r="J48">
        <v>1299</v>
      </c>
      <c r="L48">
        <v>0</v>
      </c>
      <c r="M48" t="s">
        <v>55</v>
      </c>
      <c r="N48" t="s">
        <v>65</v>
      </c>
      <c r="O48" t="s">
        <v>156</v>
      </c>
      <c r="P48" t="s">
        <v>97</v>
      </c>
      <c r="Q48" t="s">
        <v>31</v>
      </c>
      <c r="S48" t="s">
        <v>120</v>
      </c>
      <c r="T48" t="s">
        <v>34</v>
      </c>
      <c r="W48" t="s">
        <v>35</v>
      </c>
      <c r="Y48" s="1" t="d">
        <f t="shared" si="0"/>
        <v>2024-10-07</v>
      </c>
      <c r="Z48" t="str">
        <f t="shared" si="1"/>
        <v/>
      </c>
      <c r="AA48" t="str">
        <f t="shared" si="2"/>
        <v>No Discount</v>
      </c>
    </row>
    <row r="49" spans="1:27">
      <c r="A49" t="s">
        <v>283</v>
      </c>
      <c r="B49" s="1" t="d">
        <v>2024-10-12</v>
      </c>
      <c r="C49" t="s">
        <v>284</v>
      </c>
      <c r="D49" t="s">
        <v>25</v>
      </c>
      <c r="E49" t="s">
        <v>285</v>
      </c>
      <c r="F49" t="s">
        <v>61</v>
      </c>
      <c r="G49" t="s">
        <v>286</v>
      </c>
      <c r="H49">
        <v>5999</v>
      </c>
      <c r="I49">
        <v>1</v>
      </c>
      <c r="J49">
        <v>5999</v>
      </c>
      <c r="K49" t="s">
        <v>42</v>
      </c>
      <c r="L49">
        <v>20</v>
      </c>
      <c r="M49" t="s">
        <v>43</v>
      </c>
      <c r="N49" t="s">
        <v>44</v>
      </c>
      <c r="O49" t="s">
        <v>161</v>
      </c>
      <c r="P49" t="s">
        <v>162</v>
      </c>
      <c r="Q49" t="s">
        <v>45</v>
      </c>
      <c r="R49" s="1" t="d">
        <v>2024-10-22</v>
      </c>
      <c r="S49" t="s">
        <v>33</v>
      </c>
      <c r="T49" t="s">
        <v>46</v>
      </c>
      <c r="U49" t="s">
        <v>47</v>
      </c>
      <c r="V49" s="1" t="d">
        <v>2024-11-15</v>
      </c>
      <c r="W49" t="s">
        <v>48</v>
      </c>
      <c r="Y49" s="1" t="d">
        <f t="shared" si="0"/>
        <v>2024-10-07</v>
      </c>
      <c r="Z49">
        <f t="shared" si="1"/>
        <v>10</v>
      </c>
      <c r="AA49" t="str">
        <f t="shared" si="2"/>
        <v>Low (1-20%)</v>
      </c>
    </row>
    <row r="50" spans="1:27">
      <c r="A50" t="s">
        <v>287</v>
      </c>
      <c r="B50" s="1" t="d">
        <v>2024-10-12</v>
      </c>
      <c r="C50" t="s">
        <v>288</v>
      </c>
      <c r="D50" t="s">
        <v>25</v>
      </c>
      <c r="E50" t="s">
        <v>289</v>
      </c>
      <c r="F50" t="s">
        <v>71</v>
      </c>
      <c r="G50" t="s">
        <v>290</v>
      </c>
      <c r="H50">
        <v>799</v>
      </c>
      <c r="I50">
        <v>2</v>
      </c>
      <c r="J50">
        <v>1598</v>
      </c>
      <c r="L50">
        <v>0</v>
      </c>
      <c r="M50" t="s">
        <v>29</v>
      </c>
      <c r="N50" t="s">
        <v>30</v>
      </c>
      <c r="O50" t="s">
        <v>167</v>
      </c>
      <c r="P50" t="s">
        <v>151</v>
      </c>
      <c r="Q50" t="s">
        <v>31</v>
      </c>
      <c r="R50" s="1" t="d">
        <v>2024-10-20</v>
      </c>
      <c r="S50" t="s">
        <v>33</v>
      </c>
      <c r="T50" t="s">
        <v>34</v>
      </c>
      <c r="W50" t="s">
        <v>35</v>
      </c>
      <c r="Y50" s="1" t="d">
        <f t="shared" si="0"/>
        <v>2024-10-07</v>
      </c>
      <c r="Z50">
        <f t="shared" si="1"/>
        <v>8</v>
      </c>
      <c r="AA50" t="str">
        <f t="shared" si="2"/>
        <v>No Discount</v>
      </c>
    </row>
    <row r="51" spans="1:27">
      <c r="A51" t="s">
        <v>291</v>
      </c>
      <c r="B51" s="1" t="d">
        <v>2024-10-12</v>
      </c>
      <c r="C51" t="s">
        <v>292</v>
      </c>
      <c r="D51" t="s">
        <v>38</v>
      </c>
      <c r="E51" t="s">
        <v>293</v>
      </c>
      <c r="F51" t="s">
        <v>53</v>
      </c>
      <c r="G51" t="s">
        <v>294</v>
      </c>
      <c r="H51">
        <v>999</v>
      </c>
      <c r="I51">
        <v>2</v>
      </c>
      <c r="J51">
        <v>1998</v>
      </c>
      <c r="L51">
        <v>0</v>
      </c>
      <c r="M51" t="s">
        <v>111</v>
      </c>
      <c r="N51" t="s">
        <v>44</v>
      </c>
      <c r="O51" t="s">
        <v>172</v>
      </c>
      <c r="P51" t="s">
        <v>32</v>
      </c>
      <c r="Q51" t="s">
        <v>31</v>
      </c>
      <c r="R51" s="1" t="d">
        <v>2024-10-19</v>
      </c>
      <c r="S51" t="s">
        <v>33</v>
      </c>
      <c r="T51" t="s">
        <v>34</v>
      </c>
      <c r="W51" t="s">
        <v>35</v>
      </c>
      <c r="Y51" s="1" t="d">
        <f t="shared" si="0"/>
        <v>2024-10-07</v>
      </c>
      <c r="Z51">
        <f t="shared" si="1"/>
        <v>7</v>
      </c>
      <c r="AA51" t="str">
        <f t="shared" si="2"/>
        <v>No Discount</v>
      </c>
    </row>
    <row r="52" spans="1:27">
      <c r="A52" t="s">
        <v>295</v>
      </c>
      <c r="B52" s="1" t="d">
        <v>2024-10-12</v>
      </c>
      <c r="C52" t="s">
        <v>296</v>
      </c>
      <c r="D52" t="s">
        <v>25</v>
      </c>
      <c r="E52" t="s">
        <v>297</v>
      </c>
      <c r="F52" t="s">
        <v>40</v>
      </c>
      <c r="G52" t="s">
        <v>298</v>
      </c>
      <c r="H52">
        <v>1899</v>
      </c>
      <c r="I52">
        <v>1</v>
      </c>
      <c r="J52">
        <v>1899</v>
      </c>
      <c r="L52">
        <v>0</v>
      </c>
      <c r="M52" t="s">
        <v>64</v>
      </c>
      <c r="N52" t="s">
        <v>65</v>
      </c>
      <c r="O52" t="s">
        <v>177</v>
      </c>
      <c r="P52" t="s">
        <v>67</v>
      </c>
      <c r="Q52" t="s">
        <v>56</v>
      </c>
      <c r="R52" s="1" t="d">
        <v>2024-10-22</v>
      </c>
      <c r="S52" t="s">
        <v>33</v>
      </c>
      <c r="T52" t="s">
        <v>46</v>
      </c>
      <c r="U52" t="s">
        <v>68</v>
      </c>
      <c r="V52" s="1" t="d">
        <v>2024-11-14</v>
      </c>
      <c r="W52" t="s">
        <v>48</v>
      </c>
      <c r="Y52" s="1" t="d">
        <f t="shared" si="0"/>
        <v>2024-10-07</v>
      </c>
      <c r="Z52">
        <f t="shared" si="1"/>
        <v>10</v>
      </c>
      <c r="AA52" t="str">
        <f t="shared" si="2"/>
        <v>No Discount</v>
      </c>
    </row>
    <row r="53" spans="1:27">
      <c r="A53" t="s">
        <v>299</v>
      </c>
      <c r="B53" s="1" t="d">
        <v>2024-10-13</v>
      </c>
      <c r="C53" t="s">
        <v>300</v>
      </c>
      <c r="D53" t="s">
        <v>25</v>
      </c>
      <c r="E53" t="s">
        <v>301</v>
      </c>
      <c r="F53" t="s">
        <v>27</v>
      </c>
      <c r="G53" t="s">
        <v>302</v>
      </c>
      <c r="H53">
        <v>1699</v>
      </c>
      <c r="I53">
        <v>1</v>
      </c>
      <c r="J53">
        <v>1699</v>
      </c>
      <c r="K53" t="s">
        <v>110</v>
      </c>
      <c r="L53">
        <v>10</v>
      </c>
      <c r="M53" t="s">
        <v>43</v>
      </c>
      <c r="N53" t="s">
        <v>30</v>
      </c>
      <c r="O53" t="s">
        <v>182</v>
      </c>
      <c r="P53" t="s">
        <v>183</v>
      </c>
      <c r="Q53" t="s">
        <v>56</v>
      </c>
      <c r="R53" s="1" t="d">
        <v>2024-10-21</v>
      </c>
      <c r="S53" t="s">
        <v>33</v>
      </c>
      <c r="T53" t="s">
        <v>34</v>
      </c>
      <c r="W53" t="s">
        <v>35</v>
      </c>
      <c r="Y53" s="1" t="d">
        <f t="shared" si="0"/>
        <v>2024-10-07</v>
      </c>
      <c r="Z53">
        <f t="shared" si="1"/>
        <v>8</v>
      </c>
      <c r="AA53" t="str">
        <f t="shared" si="2"/>
        <v>Low (1-20%)</v>
      </c>
    </row>
    <row r="54" spans="1:27">
      <c r="A54" t="s">
        <v>303</v>
      </c>
      <c r="B54" s="1" t="d">
        <v>2024-10-13</v>
      </c>
      <c r="C54" t="s">
        <v>304</v>
      </c>
      <c r="D54" t="s">
        <v>25</v>
      </c>
      <c r="E54" t="s">
        <v>305</v>
      </c>
      <c r="F54" t="s">
        <v>61</v>
      </c>
      <c r="G54" t="s">
        <v>306</v>
      </c>
      <c r="H54">
        <v>3799</v>
      </c>
      <c r="I54">
        <v>1</v>
      </c>
      <c r="J54">
        <v>3799</v>
      </c>
      <c r="L54">
        <v>0</v>
      </c>
      <c r="M54" t="s">
        <v>29</v>
      </c>
      <c r="N54" t="s">
        <v>44</v>
      </c>
      <c r="O54" t="s">
        <v>188</v>
      </c>
      <c r="P54" t="s">
        <v>189</v>
      </c>
      <c r="Q54" t="s">
        <v>56</v>
      </c>
      <c r="R54" s="1" t="d">
        <v>2024-10-23</v>
      </c>
      <c r="S54" t="s">
        <v>33</v>
      </c>
      <c r="T54" t="s">
        <v>46</v>
      </c>
      <c r="U54" t="s">
        <v>47</v>
      </c>
      <c r="V54" s="1" t="d">
        <v>2024-11-18</v>
      </c>
      <c r="W54" t="s">
        <v>48</v>
      </c>
      <c r="Y54" s="1" t="d">
        <f t="shared" si="0"/>
        <v>2024-10-07</v>
      </c>
      <c r="Z54">
        <f t="shared" si="1"/>
        <v>10</v>
      </c>
      <c r="AA54" t="str">
        <f t="shared" si="2"/>
        <v>No Discount</v>
      </c>
    </row>
    <row r="55" spans="1:27">
      <c r="A55" t="s">
        <v>307</v>
      </c>
      <c r="B55" s="1" t="d">
        <v>2024-10-13</v>
      </c>
      <c r="C55" t="s">
        <v>308</v>
      </c>
      <c r="D55" t="s">
        <v>38</v>
      </c>
      <c r="E55" t="s">
        <v>309</v>
      </c>
      <c r="F55" t="s">
        <v>71</v>
      </c>
      <c r="G55" t="s">
        <v>310</v>
      </c>
      <c r="H55">
        <v>1299</v>
      </c>
      <c r="I55">
        <v>1</v>
      </c>
      <c r="J55">
        <v>1299</v>
      </c>
      <c r="L55">
        <v>0</v>
      </c>
      <c r="M55" t="s">
        <v>55</v>
      </c>
      <c r="N55" t="s">
        <v>65</v>
      </c>
      <c r="O55" t="s">
        <v>194</v>
      </c>
      <c r="P55" t="s">
        <v>183</v>
      </c>
      <c r="Q55" t="s">
        <v>56</v>
      </c>
      <c r="R55" s="1" t="d">
        <v>2024-10-22</v>
      </c>
      <c r="S55" t="s">
        <v>33</v>
      </c>
      <c r="T55" t="s">
        <v>34</v>
      </c>
      <c r="W55" t="s">
        <v>35</v>
      </c>
      <c r="Y55" s="1" t="d">
        <f t="shared" si="0"/>
        <v>2024-10-07</v>
      </c>
      <c r="Z55">
        <f t="shared" si="1"/>
        <v>9</v>
      </c>
      <c r="AA55" t="str">
        <f t="shared" si="2"/>
        <v>No Discount</v>
      </c>
    </row>
    <row r="56" spans="1:27">
      <c r="A56" t="s">
        <v>311</v>
      </c>
      <c r="B56" s="1" t="d">
        <v>2024-10-13</v>
      </c>
      <c r="C56" t="s">
        <v>312</v>
      </c>
      <c r="D56" t="s">
        <v>25</v>
      </c>
      <c r="E56" t="s">
        <v>313</v>
      </c>
      <c r="F56" t="s">
        <v>53</v>
      </c>
      <c r="G56" t="s">
        <v>314</v>
      </c>
      <c r="H56">
        <v>2099</v>
      </c>
      <c r="I56">
        <v>1</v>
      </c>
      <c r="J56">
        <v>2099</v>
      </c>
      <c r="K56" t="s">
        <v>42</v>
      </c>
      <c r="L56">
        <v>20</v>
      </c>
      <c r="M56" t="s">
        <v>43</v>
      </c>
      <c r="N56" t="s">
        <v>30</v>
      </c>
      <c r="O56" t="s">
        <v>199</v>
      </c>
      <c r="P56" t="s">
        <v>57</v>
      </c>
      <c r="Q56" t="s">
        <v>56</v>
      </c>
      <c r="R56" s="1" t="d">
        <v>2024-10-24</v>
      </c>
      <c r="S56" t="s">
        <v>33</v>
      </c>
      <c r="T56" t="s">
        <v>34</v>
      </c>
      <c r="W56" t="s">
        <v>35</v>
      </c>
      <c r="Y56" s="1" t="d">
        <f t="shared" si="0"/>
        <v>2024-10-07</v>
      </c>
      <c r="Z56">
        <f t="shared" si="1"/>
        <v>11</v>
      </c>
      <c r="AA56" t="str">
        <f t="shared" si="2"/>
        <v>Low (1-20%)</v>
      </c>
    </row>
    <row r="57" spans="1:27">
      <c r="A57" t="s">
        <v>315</v>
      </c>
      <c r="B57" s="1" t="d">
        <v>2024-10-14</v>
      </c>
      <c r="C57" t="s">
        <v>316</v>
      </c>
      <c r="D57" t="s">
        <v>25</v>
      </c>
      <c r="E57" t="s">
        <v>317</v>
      </c>
      <c r="F57" t="s">
        <v>40</v>
      </c>
      <c r="G57" t="s">
        <v>318</v>
      </c>
      <c r="H57">
        <v>2799</v>
      </c>
      <c r="I57">
        <v>1</v>
      </c>
      <c r="J57">
        <v>2799</v>
      </c>
      <c r="L57">
        <v>0</v>
      </c>
      <c r="M57" t="s">
        <v>64</v>
      </c>
      <c r="N57" t="s">
        <v>44</v>
      </c>
      <c r="O57" t="s">
        <v>204</v>
      </c>
      <c r="P57" t="s">
        <v>97</v>
      </c>
      <c r="Q57" t="s">
        <v>31</v>
      </c>
      <c r="R57" s="1" t="d">
        <v>2024-10-23</v>
      </c>
      <c r="S57" t="s">
        <v>33</v>
      </c>
      <c r="T57" t="s">
        <v>46</v>
      </c>
      <c r="U57" t="s">
        <v>79</v>
      </c>
      <c r="V57" s="1" t="d">
        <v>2024-11-16</v>
      </c>
      <c r="W57" t="s">
        <v>48</v>
      </c>
      <c r="Y57" s="1" t="d">
        <f t="shared" si="0"/>
        <v>2024-10-14</v>
      </c>
      <c r="Z57">
        <f t="shared" si="1"/>
        <v>9</v>
      </c>
      <c r="AA57" t="str">
        <f t="shared" si="2"/>
        <v>No Discount</v>
      </c>
    </row>
    <row r="58" spans="1:27">
      <c r="A58" t="s">
        <v>319</v>
      </c>
      <c r="B58" s="1" t="d">
        <v>2024-10-14</v>
      </c>
      <c r="C58" t="s">
        <v>320</v>
      </c>
      <c r="D58" t="s">
        <v>25</v>
      </c>
      <c r="E58" t="s">
        <v>321</v>
      </c>
      <c r="F58" t="s">
        <v>27</v>
      </c>
      <c r="G58" t="s">
        <v>322</v>
      </c>
      <c r="H58">
        <v>1499</v>
      </c>
      <c r="I58">
        <v>1</v>
      </c>
      <c r="J58">
        <v>1499</v>
      </c>
      <c r="L58">
        <v>0</v>
      </c>
      <c r="M58" t="s">
        <v>111</v>
      </c>
      <c r="N58" t="s">
        <v>30</v>
      </c>
      <c r="O58" t="s">
        <v>209</v>
      </c>
      <c r="P58" t="s">
        <v>97</v>
      </c>
      <c r="Q58" t="s">
        <v>31</v>
      </c>
      <c r="R58" s="1" t="d">
        <v>2024-10-22</v>
      </c>
      <c r="S58" t="s">
        <v>33</v>
      </c>
      <c r="T58" t="s">
        <v>34</v>
      </c>
      <c r="W58" t="s">
        <v>35</v>
      </c>
      <c r="Y58" s="1" t="d">
        <f t="shared" si="0"/>
        <v>2024-10-14</v>
      </c>
      <c r="Z58">
        <f t="shared" si="1"/>
        <v>8</v>
      </c>
      <c r="AA58" t="str">
        <f t="shared" si="2"/>
        <v>No Discount</v>
      </c>
    </row>
    <row r="59" spans="1:27">
      <c r="A59" t="s">
        <v>323</v>
      </c>
      <c r="B59" s="1" t="d">
        <v>2024-10-14</v>
      </c>
      <c r="C59" t="s">
        <v>324</v>
      </c>
      <c r="D59" t="s">
        <v>38</v>
      </c>
      <c r="E59" t="s">
        <v>325</v>
      </c>
      <c r="F59" t="s">
        <v>61</v>
      </c>
      <c r="G59" t="s">
        <v>326</v>
      </c>
      <c r="H59">
        <v>4499</v>
      </c>
      <c r="I59">
        <v>1</v>
      </c>
      <c r="J59">
        <v>4499</v>
      </c>
      <c r="K59" t="s">
        <v>63</v>
      </c>
      <c r="L59">
        <v>15</v>
      </c>
      <c r="M59" t="s">
        <v>29</v>
      </c>
      <c r="N59" t="s">
        <v>65</v>
      </c>
      <c r="O59" t="s">
        <v>214</v>
      </c>
      <c r="P59" t="s">
        <v>113</v>
      </c>
      <c r="Q59" t="s">
        <v>45</v>
      </c>
      <c r="R59" s="1" t="d">
        <v>2024-10-25</v>
      </c>
      <c r="S59" t="s">
        <v>33</v>
      </c>
      <c r="T59" t="s">
        <v>46</v>
      </c>
      <c r="U59" t="s">
        <v>104</v>
      </c>
      <c r="V59" s="1" t="d">
        <v>2024-11-20</v>
      </c>
      <c r="W59" t="s">
        <v>48</v>
      </c>
      <c r="Y59" s="1" t="d">
        <f t="shared" si="0"/>
        <v>2024-10-14</v>
      </c>
      <c r="Z59">
        <f t="shared" si="1"/>
        <v>11</v>
      </c>
      <c r="AA59" t="str">
        <f t="shared" si="2"/>
        <v>Low (1-20%)</v>
      </c>
    </row>
    <row r="60" spans="1:27">
      <c r="A60" t="s">
        <v>327</v>
      </c>
      <c r="B60" s="1" t="d">
        <v>2024-10-14</v>
      </c>
      <c r="C60" t="s">
        <v>328</v>
      </c>
      <c r="D60" t="s">
        <v>25</v>
      </c>
      <c r="E60" t="s">
        <v>329</v>
      </c>
      <c r="F60" t="s">
        <v>71</v>
      </c>
      <c r="G60" t="s">
        <v>330</v>
      </c>
      <c r="H60">
        <v>899</v>
      </c>
      <c r="I60">
        <v>1</v>
      </c>
      <c r="J60">
        <v>899</v>
      </c>
      <c r="L60">
        <v>0</v>
      </c>
      <c r="M60" t="s">
        <v>43</v>
      </c>
      <c r="N60" t="s">
        <v>44</v>
      </c>
      <c r="O60" t="s">
        <v>31</v>
      </c>
      <c r="P60" t="s">
        <v>32</v>
      </c>
      <c r="Q60" t="s">
        <v>31</v>
      </c>
      <c r="R60" s="1" t="d">
        <v>2024-10-23</v>
      </c>
      <c r="S60" t="s">
        <v>33</v>
      </c>
      <c r="T60" t="s">
        <v>34</v>
      </c>
      <c r="W60" t="s">
        <v>35</v>
      </c>
      <c r="Y60" s="1" t="d">
        <f t="shared" si="0"/>
        <v>2024-10-14</v>
      </c>
      <c r="Z60">
        <f t="shared" si="1"/>
        <v>9</v>
      </c>
      <c r="AA60" t="str">
        <f t="shared" si="2"/>
        <v>No Discount</v>
      </c>
    </row>
    <row r="61" spans="1:27">
      <c r="A61" t="s">
        <v>331</v>
      </c>
      <c r="B61" s="1" t="d">
        <v>2024-10-15</v>
      </c>
      <c r="C61" t="s">
        <v>332</v>
      </c>
      <c r="D61" t="s">
        <v>25</v>
      </c>
      <c r="E61" t="s">
        <v>333</v>
      </c>
      <c r="F61" t="s">
        <v>53</v>
      </c>
      <c r="G61" t="s">
        <v>334</v>
      </c>
      <c r="H61">
        <v>1799</v>
      </c>
      <c r="I61">
        <v>1</v>
      </c>
      <c r="J61">
        <v>1799</v>
      </c>
      <c r="L61">
        <v>0</v>
      </c>
      <c r="M61" t="s">
        <v>55</v>
      </c>
      <c r="N61" t="s">
        <v>30</v>
      </c>
      <c r="O61" t="s">
        <v>45</v>
      </c>
      <c r="P61" t="s">
        <v>45</v>
      </c>
      <c r="Q61" t="s">
        <v>45</v>
      </c>
      <c r="S61" t="s">
        <v>120</v>
      </c>
      <c r="T61" t="s">
        <v>34</v>
      </c>
      <c r="W61" t="s">
        <v>35</v>
      </c>
      <c r="Y61" s="1" t="d">
        <f t="shared" si="0"/>
        <v>2024-10-14</v>
      </c>
      <c r="Z61" t="str">
        <f t="shared" si="1"/>
        <v/>
      </c>
      <c r="AA61" t="str">
        <f t="shared" si="2"/>
        <v>No Discount</v>
      </c>
    </row>
    <row r="62" spans="1:27">
      <c r="A62" t="s">
        <v>335</v>
      </c>
      <c r="B62" s="1" t="d">
        <v>2024-10-15</v>
      </c>
      <c r="C62" t="s">
        <v>336</v>
      </c>
      <c r="D62" t="s">
        <v>25</v>
      </c>
      <c r="E62" t="s">
        <v>337</v>
      </c>
      <c r="F62" t="s">
        <v>40</v>
      </c>
      <c r="G62" t="s">
        <v>338</v>
      </c>
      <c r="H62">
        <v>2199</v>
      </c>
      <c r="I62">
        <v>1</v>
      </c>
      <c r="J62">
        <v>2199</v>
      </c>
      <c r="K62" t="s">
        <v>42</v>
      </c>
      <c r="L62">
        <v>20</v>
      </c>
      <c r="M62" t="s">
        <v>64</v>
      </c>
      <c r="N62" t="s">
        <v>65</v>
      </c>
      <c r="O62" t="s">
        <v>90</v>
      </c>
      <c r="P62" t="s">
        <v>91</v>
      </c>
      <c r="Q62" t="s">
        <v>45</v>
      </c>
      <c r="R62" s="1" t="d">
        <v>2024-10-26</v>
      </c>
      <c r="S62" t="s">
        <v>33</v>
      </c>
      <c r="T62" t="s">
        <v>46</v>
      </c>
      <c r="U62" t="s">
        <v>47</v>
      </c>
      <c r="V62" s="1" t="d">
        <v>2024-11-22</v>
      </c>
      <c r="W62" t="s">
        <v>48</v>
      </c>
      <c r="Y62" s="1" t="d">
        <f t="shared" si="0"/>
        <v>2024-10-14</v>
      </c>
      <c r="Z62">
        <f t="shared" si="1"/>
        <v>11</v>
      </c>
      <c r="AA62" t="str">
        <f t="shared" si="2"/>
        <v>Low (1-20%)</v>
      </c>
    </row>
    <row r="63" spans="1:27">
      <c r="A63" t="s">
        <v>339</v>
      </c>
      <c r="B63" s="1" t="d">
        <v>2024-10-15</v>
      </c>
      <c r="C63" t="s">
        <v>340</v>
      </c>
      <c r="D63" t="s">
        <v>38</v>
      </c>
      <c r="E63" t="s">
        <v>341</v>
      </c>
      <c r="F63" t="s">
        <v>27</v>
      </c>
      <c r="G63" t="s">
        <v>342</v>
      </c>
      <c r="H63">
        <v>1399</v>
      </c>
      <c r="I63">
        <v>1</v>
      </c>
      <c r="J63">
        <v>1399</v>
      </c>
      <c r="L63">
        <v>0</v>
      </c>
      <c r="M63" t="s">
        <v>29</v>
      </c>
      <c r="N63" t="s">
        <v>44</v>
      </c>
      <c r="O63" t="s">
        <v>66</v>
      </c>
      <c r="P63" t="s">
        <v>67</v>
      </c>
      <c r="Q63" t="s">
        <v>56</v>
      </c>
      <c r="R63" s="1" t="d">
        <v>2024-10-24</v>
      </c>
      <c r="S63" t="s">
        <v>33</v>
      </c>
      <c r="T63" t="s">
        <v>34</v>
      </c>
      <c r="W63" t="s">
        <v>35</v>
      </c>
      <c r="Y63" s="1" t="d">
        <f t="shared" si="0"/>
        <v>2024-10-14</v>
      </c>
      <c r="Z63">
        <f t="shared" si="1"/>
        <v>9</v>
      </c>
      <c r="AA63" t="str">
        <f t="shared" si="2"/>
        <v>No Discount</v>
      </c>
    </row>
    <row r="64" spans="1:27">
      <c r="A64" t="s">
        <v>343</v>
      </c>
      <c r="B64" s="1" t="d">
        <v>2024-10-15</v>
      </c>
      <c r="C64" t="s">
        <v>344</v>
      </c>
      <c r="D64" t="s">
        <v>25</v>
      </c>
      <c r="E64" t="s">
        <v>345</v>
      </c>
      <c r="F64" t="s">
        <v>61</v>
      </c>
      <c r="G64" t="s">
        <v>346</v>
      </c>
      <c r="H64">
        <v>2999</v>
      </c>
      <c r="I64">
        <v>1</v>
      </c>
      <c r="J64">
        <v>2999</v>
      </c>
      <c r="L64">
        <v>0</v>
      </c>
      <c r="M64" t="s">
        <v>43</v>
      </c>
      <c r="N64" t="s">
        <v>30</v>
      </c>
      <c r="O64" t="s">
        <v>77</v>
      </c>
      <c r="P64" t="s">
        <v>78</v>
      </c>
      <c r="Q64" t="s">
        <v>56</v>
      </c>
      <c r="R64" s="1" t="d">
        <v>2024-10-27</v>
      </c>
      <c r="S64" t="s">
        <v>33</v>
      </c>
      <c r="T64" t="s">
        <v>46</v>
      </c>
      <c r="U64" t="s">
        <v>68</v>
      </c>
      <c r="V64" s="1" t="d">
        <v>2024-11-24</v>
      </c>
      <c r="W64" t="s">
        <v>48</v>
      </c>
      <c r="Y64" s="1" t="d">
        <f t="shared" si="0"/>
        <v>2024-10-14</v>
      </c>
      <c r="Z64">
        <f t="shared" si="1"/>
        <v>12</v>
      </c>
      <c r="AA64" t="str">
        <f t="shared" si="2"/>
        <v>No Discount</v>
      </c>
    </row>
    <row r="65" spans="1:27">
      <c r="A65" t="s">
        <v>347</v>
      </c>
      <c r="B65" s="1" t="d">
        <v>2024-10-16</v>
      </c>
      <c r="C65" t="s">
        <v>348</v>
      </c>
      <c r="D65" t="s">
        <v>25</v>
      </c>
      <c r="E65" t="s">
        <v>349</v>
      </c>
      <c r="F65" t="s">
        <v>71</v>
      </c>
      <c r="G65" t="s">
        <v>350</v>
      </c>
      <c r="H65">
        <v>699</v>
      </c>
      <c r="I65">
        <v>2</v>
      </c>
      <c r="J65">
        <v>1398</v>
      </c>
      <c r="K65" t="s">
        <v>110</v>
      </c>
      <c r="L65">
        <v>10</v>
      </c>
      <c r="M65" t="s">
        <v>111</v>
      </c>
      <c r="N65" t="s">
        <v>65</v>
      </c>
      <c r="O65" t="s">
        <v>84</v>
      </c>
      <c r="P65" t="s">
        <v>32</v>
      </c>
      <c r="Q65" t="s">
        <v>31</v>
      </c>
      <c r="R65" s="1" t="d">
        <v>2024-10-25</v>
      </c>
      <c r="S65" t="s">
        <v>33</v>
      </c>
      <c r="T65" t="s">
        <v>34</v>
      </c>
      <c r="W65" t="s">
        <v>35</v>
      </c>
      <c r="Y65" s="1" t="d">
        <f t="shared" si="0"/>
        <v>2024-10-14</v>
      </c>
      <c r="Z65">
        <f t="shared" si="1"/>
        <v>9</v>
      </c>
      <c r="AA65" t="str">
        <f t="shared" si="2"/>
        <v>Low (1-20%)</v>
      </c>
    </row>
    <row r="66" spans="1:27">
      <c r="A66" t="s">
        <v>351</v>
      </c>
      <c r="B66" s="1" t="d">
        <v>2024-10-16</v>
      </c>
      <c r="C66" t="s">
        <v>352</v>
      </c>
      <c r="D66" t="s">
        <v>25</v>
      </c>
      <c r="E66" t="s">
        <v>353</v>
      </c>
      <c r="F66" t="s">
        <v>53</v>
      </c>
      <c r="G66" t="s">
        <v>354</v>
      </c>
      <c r="H66">
        <v>2199</v>
      </c>
      <c r="I66">
        <v>1</v>
      </c>
      <c r="J66">
        <v>2199</v>
      </c>
      <c r="L66">
        <v>0</v>
      </c>
      <c r="M66" t="s">
        <v>55</v>
      </c>
      <c r="N66" t="s">
        <v>44</v>
      </c>
      <c r="O66" t="s">
        <v>96</v>
      </c>
      <c r="P66" t="s">
        <v>97</v>
      </c>
      <c r="Q66" t="s">
        <v>31</v>
      </c>
      <c r="R66" s="1" t="d">
        <v>2024-10-28</v>
      </c>
      <c r="S66" t="s">
        <v>33</v>
      </c>
      <c r="T66" t="s">
        <v>46</v>
      </c>
      <c r="U66" t="s">
        <v>47</v>
      </c>
      <c r="V66" s="1" t="d">
        <v>2024-11-25</v>
      </c>
      <c r="W66" t="s">
        <v>48</v>
      </c>
      <c r="Y66" s="1" t="d">
        <f t="shared" si="0"/>
        <v>2024-10-14</v>
      </c>
      <c r="Z66">
        <f t="shared" si="1"/>
        <v>12</v>
      </c>
      <c r="AA66" t="str">
        <f t="shared" si="2"/>
        <v>No Discount</v>
      </c>
    </row>
    <row r="67" spans="1:27">
      <c r="A67" t="s">
        <v>355</v>
      </c>
      <c r="B67" s="1" t="d">
        <v>2024-10-16</v>
      </c>
      <c r="C67" t="s">
        <v>356</v>
      </c>
      <c r="D67" t="s">
        <v>38</v>
      </c>
      <c r="E67" t="s">
        <v>357</v>
      </c>
      <c r="F67" t="s">
        <v>40</v>
      </c>
      <c r="G67" t="s">
        <v>358</v>
      </c>
      <c r="H67">
        <v>2499</v>
      </c>
      <c r="I67">
        <v>1</v>
      </c>
      <c r="J67">
        <v>2499</v>
      </c>
      <c r="L67">
        <v>0</v>
      </c>
      <c r="M67" t="s">
        <v>43</v>
      </c>
      <c r="N67" t="s">
        <v>30</v>
      </c>
      <c r="O67" t="s">
        <v>102</v>
      </c>
      <c r="P67" t="s">
        <v>103</v>
      </c>
      <c r="Q67" t="s">
        <v>45</v>
      </c>
      <c r="R67" s="1" t="d">
        <v>2024-10-26</v>
      </c>
      <c r="S67" t="s">
        <v>33</v>
      </c>
      <c r="T67" t="s">
        <v>34</v>
      </c>
      <c r="W67" t="s">
        <v>35</v>
      </c>
      <c r="Y67" s="1" t="d">
        <f t="shared" ref="Y67:Y130" si="3">B67 - WEEKDAY(B67,2) + 1</f>
        <v>2024-10-14</v>
      </c>
      <c r="Z67">
        <f t="shared" ref="Z67:Z130" si="4">IF(R67&lt;&gt;"", R67-B67, "")</f>
        <v>10</v>
      </c>
      <c r="AA67" t="str">
        <f t="shared" ref="AA67:AA130" si="5">IF(L67=0, "No Discount", IF(L67&lt;=20, "Low (1-20%)", "High (20%+)"))</f>
        <v>No Discount</v>
      </c>
    </row>
    <row r="68" spans="1:27">
      <c r="A68" t="s">
        <v>359</v>
      </c>
      <c r="B68" s="1" t="d">
        <v>2024-10-16</v>
      </c>
      <c r="C68" t="s">
        <v>360</v>
      </c>
      <c r="D68" t="s">
        <v>25</v>
      </c>
      <c r="E68" t="s">
        <v>361</v>
      </c>
      <c r="F68" t="s">
        <v>27</v>
      </c>
      <c r="G68" t="s">
        <v>362</v>
      </c>
      <c r="H68">
        <v>1899</v>
      </c>
      <c r="I68">
        <v>1</v>
      </c>
      <c r="J68">
        <v>1899</v>
      </c>
      <c r="K68" t="s">
        <v>42</v>
      </c>
      <c r="L68">
        <v>20</v>
      </c>
      <c r="M68" t="s">
        <v>29</v>
      </c>
      <c r="N68" t="s">
        <v>65</v>
      </c>
      <c r="O68" t="s">
        <v>112</v>
      </c>
      <c r="P68" t="s">
        <v>113</v>
      </c>
      <c r="Q68" t="s">
        <v>45</v>
      </c>
      <c r="R68" s="1" t="d">
        <v>2024-10-27</v>
      </c>
      <c r="S68" t="s">
        <v>33</v>
      </c>
      <c r="T68" t="s">
        <v>46</v>
      </c>
      <c r="U68" t="s">
        <v>79</v>
      </c>
      <c r="V68" s="1" t="d">
        <v>2024-11-20</v>
      </c>
      <c r="W68" t="s">
        <v>48</v>
      </c>
      <c r="Y68" s="1" t="d">
        <f t="shared" si="3"/>
        <v>2024-10-14</v>
      </c>
      <c r="Z68">
        <f t="shared" si="4"/>
        <v>11</v>
      </c>
      <c r="AA68" t="str">
        <f t="shared" si="5"/>
        <v>Low (1-20%)</v>
      </c>
    </row>
    <row r="69" spans="1:27">
      <c r="A69" t="s">
        <v>363</v>
      </c>
      <c r="B69" s="1" t="d">
        <v>2024-10-17</v>
      </c>
      <c r="C69" t="s">
        <v>364</v>
      </c>
      <c r="D69" t="s">
        <v>25</v>
      </c>
      <c r="E69" t="s">
        <v>365</v>
      </c>
      <c r="F69" t="s">
        <v>61</v>
      </c>
      <c r="G69" t="s">
        <v>366</v>
      </c>
      <c r="H69">
        <v>1299</v>
      </c>
      <c r="I69">
        <v>1</v>
      </c>
      <c r="J69">
        <v>1299</v>
      </c>
      <c r="L69">
        <v>0</v>
      </c>
      <c r="M69" t="s">
        <v>64</v>
      </c>
      <c r="N69" t="s">
        <v>44</v>
      </c>
      <c r="O69" t="s">
        <v>56</v>
      </c>
      <c r="P69" t="s">
        <v>57</v>
      </c>
      <c r="Q69" t="s">
        <v>56</v>
      </c>
      <c r="R69" s="1" t="d">
        <v>2024-10-28</v>
      </c>
      <c r="S69" t="s">
        <v>33</v>
      </c>
      <c r="T69" t="s">
        <v>34</v>
      </c>
      <c r="W69" t="s">
        <v>35</v>
      </c>
      <c r="Y69" s="1" t="d">
        <f t="shared" si="3"/>
        <v>2024-10-14</v>
      </c>
      <c r="Z69">
        <f t="shared" si="4"/>
        <v>11</v>
      </c>
      <c r="AA69" t="str">
        <f t="shared" si="5"/>
        <v>No Discount</v>
      </c>
    </row>
    <row r="70" spans="1:27">
      <c r="A70" t="s">
        <v>367</v>
      </c>
      <c r="B70" s="1" t="d">
        <v>2024-10-17</v>
      </c>
      <c r="C70" t="s">
        <v>368</v>
      </c>
      <c r="D70" t="s">
        <v>25</v>
      </c>
      <c r="E70" t="s">
        <v>369</v>
      </c>
      <c r="F70" t="s">
        <v>71</v>
      </c>
      <c r="G70" t="s">
        <v>370</v>
      </c>
      <c r="H70">
        <v>1599</v>
      </c>
      <c r="I70">
        <v>1</v>
      </c>
      <c r="J70">
        <v>1599</v>
      </c>
      <c r="L70">
        <v>0</v>
      </c>
      <c r="M70" t="s">
        <v>43</v>
      </c>
      <c r="N70" t="s">
        <v>30</v>
      </c>
      <c r="O70" t="s">
        <v>31</v>
      </c>
      <c r="P70" t="s">
        <v>32</v>
      </c>
      <c r="Q70" t="s">
        <v>31</v>
      </c>
      <c r="R70" s="1" t="d">
        <v>2024-10-27</v>
      </c>
      <c r="S70" t="s">
        <v>33</v>
      </c>
      <c r="T70" t="s">
        <v>46</v>
      </c>
      <c r="U70" t="s">
        <v>138</v>
      </c>
      <c r="V70" s="1" t="d">
        <v>2024-11-22</v>
      </c>
      <c r="W70" t="s">
        <v>48</v>
      </c>
      <c r="Y70" s="1" t="d">
        <f t="shared" si="3"/>
        <v>2024-10-14</v>
      </c>
      <c r="Z70">
        <f t="shared" si="4"/>
        <v>10</v>
      </c>
      <c r="AA70" t="str">
        <f t="shared" si="5"/>
        <v>No Discount</v>
      </c>
    </row>
    <row r="71" spans="1:27">
      <c r="A71" t="s">
        <v>371</v>
      </c>
      <c r="B71" s="1" t="d">
        <v>2024-10-17</v>
      </c>
      <c r="C71" t="s">
        <v>372</v>
      </c>
      <c r="D71" t="s">
        <v>38</v>
      </c>
      <c r="E71" t="s">
        <v>373</v>
      </c>
      <c r="F71" t="s">
        <v>53</v>
      </c>
      <c r="G71" t="s">
        <v>374</v>
      </c>
      <c r="H71">
        <v>2099</v>
      </c>
      <c r="I71">
        <v>1</v>
      </c>
      <c r="J71">
        <v>2099</v>
      </c>
      <c r="K71" t="s">
        <v>63</v>
      </c>
      <c r="L71">
        <v>15</v>
      </c>
      <c r="M71" t="s">
        <v>29</v>
      </c>
      <c r="N71" t="s">
        <v>65</v>
      </c>
      <c r="O71" t="s">
        <v>45</v>
      </c>
      <c r="P71" t="s">
        <v>45</v>
      </c>
      <c r="Q71" t="s">
        <v>45</v>
      </c>
      <c r="R71" s="1" t="d">
        <v>2024-10-29</v>
      </c>
      <c r="S71" t="s">
        <v>33</v>
      </c>
      <c r="T71" t="s">
        <v>34</v>
      </c>
      <c r="W71" t="s">
        <v>35</v>
      </c>
      <c r="Y71" s="1" t="d">
        <f t="shared" si="3"/>
        <v>2024-10-14</v>
      </c>
      <c r="Z71">
        <f t="shared" si="4"/>
        <v>12</v>
      </c>
      <c r="AA71" t="str">
        <f t="shared" si="5"/>
        <v>Low (1-20%)</v>
      </c>
    </row>
    <row r="72" spans="1:27">
      <c r="A72" t="s">
        <v>375</v>
      </c>
      <c r="B72" s="1" t="d">
        <v>2024-10-17</v>
      </c>
      <c r="C72" t="s">
        <v>376</v>
      </c>
      <c r="D72" t="s">
        <v>25</v>
      </c>
      <c r="E72" t="s">
        <v>377</v>
      </c>
      <c r="F72" t="s">
        <v>40</v>
      </c>
      <c r="G72" t="s">
        <v>378</v>
      </c>
      <c r="H72">
        <v>2299</v>
      </c>
      <c r="I72">
        <v>1</v>
      </c>
      <c r="J72">
        <v>2299</v>
      </c>
      <c r="L72">
        <v>0</v>
      </c>
      <c r="M72" t="s">
        <v>55</v>
      </c>
      <c r="N72" t="s">
        <v>44</v>
      </c>
      <c r="O72" t="s">
        <v>118</v>
      </c>
      <c r="P72" t="s">
        <v>119</v>
      </c>
      <c r="Q72" t="s">
        <v>45</v>
      </c>
      <c r="S72" t="s">
        <v>120</v>
      </c>
      <c r="T72" t="s">
        <v>34</v>
      </c>
      <c r="W72" t="s">
        <v>35</v>
      </c>
      <c r="Y72" s="1" t="d">
        <f t="shared" si="3"/>
        <v>2024-10-14</v>
      </c>
      <c r="Z72" t="str">
        <f t="shared" si="4"/>
        <v/>
      </c>
      <c r="AA72" t="str">
        <f t="shared" si="5"/>
        <v>No Discount</v>
      </c>
    </row>
    <row r="73" spans="1:27">
      <c r="A73" t="s">
        <v>379</v>
      </c>
      <c r="B73" s="1" t="d">
        <v>2024-10-18</v>
      </c>
      <c r="C73" t="s">
        <v>380</v>
      </c>
      <c r="D73" t="s">
        <v>25</v>
      </c>
      <c r="E73" t="s">
        <v>381</v>
      </c>
      <c r="F73" t="s">
        <v>27</v>
      </c>
      <c r="G73" t="s">
        <v>382</v>
      </c>
      <c r="H73">
        <v>1199</v>
      </c>
      <c r="I73">
        <v>2</v>
      </c>
      <c r="J73">
        <v>2398</v>
      </c>
      <c r="L73">
        <v>0</v>
      </c>
      <c r="M73" t="s">
        <v>111</v>
      </c>
      <c r="N73" t="s">
        <v>30</v>
      </c>
      <c r="O73" t="s">
        <v>137</v>
      </c>
      <c r="P73" t="s">
        <v>113</v>
      </c>
      <c r="Q73" t="s">
        <v>45</v>
      </c>
      <c r="R73" s="1" t="d">
        <v>2024-10-28</v>
      </c>
      <c r="S73" t="s">
        <v>33</v>
      </c>
      <c r="T73" t="s">
        <v>34</v>
      </c>
      <c r="W73" t="s">
        <v>35</v>
      </c>
      <c r="Y73" s="1" t="d">
        <f t="shared" si="3"/>
        <v>2024-10-14</v>
      </c>
      <c r="Z73">
        <f t="shared" si="4"/>
        <v>10</v>
      </c>
      <c r="AA73" t="str">
        <f t="shared" si="5"/>
        <v>No Discount</v>
      </c>
    </row>
    <row r="74" spans="1:27">
      <c r="A74" t="s">
        <v>383</v>
      </c>
      <c r="B74" s="1" t="d">
        <v>2024-10-18</v>
      </c>
      <c r="C74" t="s">
        <v>384</v>
      </c>
      <c r="D74" t="s">
        <v>25</v>
      </c>
      <c r="E74" t="s">
        <v>385</v>
      </c>
      <c r="F74" t="s">
        <v>61</v>
      </c>
      <c r="G74" t="s">
        <v>386</v>
      </c>
      <c r="H74">
        <v>2599</v>
      </c>
      <c r="I74">
        <v>1</v>
      </c>
      <c r="J74">
        <v>2599</v>
      </c>
      <c r="K74" t="s">
        <v>42</v>
      </c>
      <c r="L74">
        <v>20</v>
      </c>
      <c r="M74" t="s">
        <v>43</v>
      </c>
      <c r="N74" t="s">
        <v>65</v>
      </c>
      <c r="O74" t="s">
        <v>143</v>
      </c>
      <c r="P74" t="s">
        <v>144</v>
      </c>
      <c r="Q74" t="s">
        <v>45</v>
      </c>
      <c r="R74" s="1" t="d">
        <v>2024-10-30</v>
      </c>
      <c r="S74" t="s">
        <v>33</v>
      </c>
      <c r="T74" t="s">
        <v>46</v>
      </c>
      <c r="U74" t="s">
        <v>47</v>
      </c>
      <c r="V74" s="1" t="d">
        <v>2024-11-26</v>
      </c>
      <c r="W74" t="s">
        <v>48</v>
      </c>
      <c r="Y74" s="1" t="d">
        <f t="shared" si="3"/>
        <v>2024-10-14</v>
      </c>
      <c r="Z74">
        <f t="shared" si="4"/>
        <v>12</v>
      </c>
      <c r="AA74" t="str">
        <f t="shared" si="5"/>
        <v>Low (1-20%)</v>
      </c>
    </row>
    <row r="75" spans="1:27">
      <c r="A75" t="s">
        <v>387</v>
      </c>
      <c r="B75" s="1" t="d">
        <v>2024-10-18</v>
      </c>
      <c r="C75" t="s">
        <v>388</v>
      </c>
      <c r="D75" t="s">
        <v>38</v>
      </c>
      <c r="E75" t="s">
        <v>389</v>
      </c>
      <c r="F75" t="s">
        <v>71</v>
      </c>
      <c r="G75" t="s">
        <v>390</v>
      </c>
      <c r="H75">
        <v>299</v>
      </c>
      <c r="I75">
        <v>5</v>
      </c>
      <c r="J75">
        <v>1495</v>
      </c>
      <c r="L75">
        <v>0</v>
      </c>
      <c r="M75" t="s">
        <v>29</v>
      </c>
      <c r="N75" t="s">
        <v>44</v>
      </c>
      <c r="O75" t="s">
        <v>150</v>
      </c>
      <c r="P75" t="s">
        <v>151</v>
      </c>
      <c r="Q75" t="s">
        <v>31</v>
      </c>
      <c r="R75" s="1" t="d">
        <v>2024-10-27</v>
      </c>
      <c r="S75" t="s">
        <v>33</v>
      </c>
      <c r="T75" t="s">
        <v>34</v>
      </c>
      <c r="W75" t="s">
        <v>35</v>
      </c>
      <c r="Y75" s="1" t="d">
        <f t="shared" si="3"/>
        <v>2024-10-14</v>
      </c>
      <c r="Z75">
        <f t="shared" si="4"/>
        <v>9</v>
      </c>
      <c r="AA75" t="str">
        <f t="shared" si="5"/>
        <v>No Discount</v>
      </c>
    </row>
    <row r="76" spans="1:27">
      <c r="A76" t="s">
        <v>391</v>
      </c>
      <c r="B76" s="1" t="d">
        <v>2024-10-18</v>
      </c>
      <c r="C76" t="s">
        <v>392</v>
      </c>
      <c r="D76" t="s">
        <v>25</v>
      </c>
      <c r="E76" t="s">
        <v>393</v>
      </c>
      <c r="F76" t="s">
        <v>53</v>
      </c>
      <c r="G76" t="s">
        <v>394</v>
      </c>
      <c r="H76">
        <v>1899</v>
      </c>
      <c r="I76">
        <v>1</v>
      </c>
      <c r="J76">
        <v>1899</v>
      </c>
      <c r="L76">
        <v>0</v>
      </c>
      <c r="M76" t="s">
        <v>64</v>
      </c>
      <c r="N76" t="s">
        <v>30</v>
      </c>
      <c r="O76" t="s">
        <v>156</v>
      </c>
      <c r="P76" t="s">
        <v>97</v>
      </c>
      <c r="Q76" t="s">
        <v>31</v>
      </c>
      <c r="R76" s="1" t="d">
        <v>2024-10-30</v>
      </c>
      <c r="S76" t="s">
        <v>33</v>
      </c>
      <c r="T76" t="s">
        <v>46</v>
      </c>
      <c r="U76" t="s">
        <v>104</v>
      </c>
      <c r="V76" s="1" t="d">
        <v>2024-11-28</v>
      </c>
      <c r="W76" t="s">
        <v>48</v>
      </c>
      <c r="Y76" s="1" t="d">
        <f t="shared" si="3"/>
        <v>2024-10-14</v>
      </c>
      <c r="Z76">
        <f t="shared" si="4"/>
        <v>12</v>
      </c>
      <c r="AA76" t="str">
        <f t="shared" si="5"/>
        <v>No Discount</v>
      </c>
    </row>
    <row r="77" spans="1:27">
      <c r="A77" t="s">
        <v>395</v>
      </c>
      <c r="B77" s="1" t="d">
        <v>2024-10-19</v>
      </c>
      <c r="C77" t="s">
        <v>396</v>
      </c>
      <c r="D77" t="s">
        <v>25</v>
      </c>
      <c r="E77" t="s">
        <v>397</v>
      </c>
      <c r="F77" t="s">
        <v>40</v>
      </c>
      <c r="G77" t="s">
        <v>398</v>
      </c>
      <c r="H77">
        <v>2199</v>
      </c>
      <c r="I77">
        <v>1</v>
      </c>
      <c r="J77">
        <v>2199</v>
      </c>
      <c r="L77">
        <v>0</v>
      </c>
      <c r="M77" t="s">
        <v>43</v>
      </c>
      <c r="N77" t="s">
        <v>65</v>
      </c>
      <c r="O77" t="s">
        <v>161</v>
      </c>
      <c r="P77" t="s">
        <v>162</v>
      </c>
      <c r="Q77" t="s">
        <v>45</v>
      </c>
      <c r="R77" s="1" t="d">
        <v>2024-10-31</v>
      </c>
      <c r="S77" t="s">
        <v>33</v>
      </c>
      <c r="T77" t="s">
        <v>34</v>
      </c>
      <c r="W77" t="s">
        <v>35</v>
      </c>
      <c r="Y77" s="1" t="d">
        <f t="shared" si="3"/>
        <v>2024-10-14</v>
      </c>
      <c r="Z77">
        <f t="shared" si="4"/>
        <v>12</v>
      </c>
      <c r="AA77" t="str">
        <f t="shared" si="5"/>
        <v>No Discount</v>
      </c>
    </row>
    <row r="78" spans="1:27">
      <c r="A78" t="s">
        <v>399</v>
      </c>
      <c r="B78" s="1" t="d">
        <v>2024-10-19</v>
      </c>
      <c r="C78" t="s">
        <v>400</v>
      </c>
      <c r="D78" t="s">
        <v>25</v>
      </c>
      <c r="E78" t="s">
        <v>401</v>
      </c>
      <c r="F78" t="s">
        <v>27</v>
      </c>
      <c r="G78" t="s">
        <v>402</v>
      </c>
      <c r="H78">
        <v>1799</v>
      </c>
      <c r="I78">
        <v>1</v>
      </c>
      <c r="J78">
        <v>1799</v>
      </c>
      <c r="K78" t="s">
        <v>110</v>
      </c>
      <c r="L78">
        <v>10</v>
      </c>
      <c r="M78" t="s">
        <v>55</v>
      </c>
      <c r="N78" t="s">
        <v>44</v>
      </c>
      <c r="O78" t="s">
        <v>167</v>
      </c>
      <c r="P78" t="s">
        <v>151</v>
      </c>
      <c r="Q78" t="s">
        <v>31</v>
      </c>
      <c r="R78" s="1" t="d">
        <v>2024-10-29</v>
      </c>
      <c r="S78" t="s">
        <v>33</v>
      </c>
      <c r="T78" t="s">
        <v>46</v>
      </c>
      <c r="U78" t="s">
        <v>68</v>
      </c>
      <c r="V78" s="1" t="d">
        <v>2024-11-25</v>
      </c>
      <c r="W78" t="s">
        <v>48</v>
      </c>
      <c r="Y78" s="1" t="d">
        <f t="shared" si="3"/>
        <v>2024-10-14</v>
      </c>
      <c r="Z78">
        <f t="shared" si="4"/>
        <v>10</v>
      </c>
      <c r="AA78" t="str">
        <f t="shared" si="5"/>
        <v>Low (1-20%)</v>
      </c>
    </row>
    <row r="79" spans="1:27">
      <c r="A79" t="s">
        <v>403</v>
      </c>
      <c r="B79" s="1" t="d">
        <v>2024-10-19</v>
      </c>
      <c r="C79" t="s">
        <v>404</v>
      </c>
      <c r="D79" t="s">
        <v>38</v>
      </c>
      <c r="E79" t="s">
        <v>405</v>
      </c>
      <c r="F79" t="s">
        <v>61</v>
      </c>
      <c r="G79" t="s">
        <v>406</v>
      </c>
      <c r="H79">
        <v>4999</v>
      </c>
      <c r="I79">
        <v>1</v>
      </c>
      <c r="J79">
        <v>4999</v>
      </c>
      <c r="L79">
        <v>0</v>
      </c>
      <c r="M79" t="s">
        <v>29</v>
      </c>
      <c r="N79" t="s">
        <v>30</v>
      </c>
      <c r="O79" t="s">
        <v>172</v>
      </c>
      <c r="P79" t="s">
        <v>32</v>
      </c>
      <c r="Q79" t="s">
        <v>31</v>
      </c>
      <c r="R79" s="1" t="d">
        <v>2024-11-01</v>
      </c>
      <c r="S79" t="s">
        <v>33</v>
      </c>
      <c r="T79" t="s">
        <v>34</v>
      </c>
      <c r="W79" t="s">
        <v>35</v>
      </c>
      <c r="Y79" s="1" t="d">
        <f t="shared" si="3"/>
        <v>2024-10-14</v>
      </c>
      <c r="Z79">
        <f t="shared" si="4"/>
        <v>13</v>
      </c>
      <c r="AA79" t="str">
        <f t="shared" si="5"/>
        <v>No Discount</v>
      </c>
    </row>
    <row r="80" spans="1:27">
      <c r="A80" t="s">
        <v>407</v>
      </c>
      <c r="B80" s="1" t="d">
        <v>2024-10-19</v>
      </c>
      <c r="C80" t="s">
        <v>408</v>
      </c>
      <c r="D80" t="s">
        <v>25</v>
      </c>
      <c r="E80" t="s">
        <v>409</v>
      </c>
      <c r="F80" t="s">
        <v>71</v>
      </c>
      <c r="G80" t="s">
        <v>410</v>
      </c>
      <c r="H80">
        <v>999</v>
      </c>
      <c r="I80">
        <v>1</v>
      </c>
      <c r="J80">
        <v>999</v>
      </c>
      <c r="L80">
        <v>0</v>
      </c>
      <c r="M80" t="s">
        <v>111</v>
      </c>
      <c r="N80" t="s">
        <v>65</v>
      </c>
      <c r="O80" t="s">
        <v>177</v>
      </c>
      <c r="P80" t="s">
        <v>67</v>
      </c>
      <c r="Q80" t="s">
        <v>56</v>
      </c>
      <c r="R80" s="1" t="d">
        <v>2024-10-30</v>
      </c>
      <c r="S80" t="s">
        <v>33</v>
      </c>
      <c r="T80" t="s">
        <v>46</v>
      </c>
      <c r="U80" t="s">
        <v>47</v>
      </c>
      <c r="V80" s="1" t="d">
        <v>2024-11-28</v>
      </c>
      <c r="W80" t="s">
        <v>48</v>
      </c>
      <c r="Y80" s="1" t="d">
        <f t="shared" si="3"/>
        <v>2024-10-14</v>
      </c>
      <c r="Z80">
        <f t="shared" si="4"/>
        <v>11</v>
      </c>
      <c r="AA80" t="str">
        <f t="shared" si="5"/>
        <v>No Discount</v>
      </c>
    </row>
    <row r="81" spans="1:27">
      <c r="A81" t="s">
        <v>411</v>
      </c>
      <c r="B81" s="1" t="d">
        <v>2024-10-20</v>
      </c>
      <c r="C81" t="s">
        <v>412</v>
      </c>
      <c r="D81" t="s">
        <v>25</v>
      </c>
      <c r="E81" t="s">
        <v>413</v>
      </c>
      <c r="F81" t="s">
        <v>53</v>
      </c>
      <c r="G81" t="s">
        <v>414</v>
      </c>
      <c r="H81">
        <v>1499</v>
      </c>
      <c r="I81">
        <v>1</v>
      </c>
      <c r="J81">
        <v>1499</v>
      </c>
      <c r="K81" t="s">
        <v>42</v>
      </c>
      <c r="L81">
        <v>20</v>
      </c>
      <c r="M81" t="s">
        <v>43</v>
      </c>
      <c r="N81" t="s">
        <v>44</v>
      </c>
      <c r="O81" t="s">
        <v>182</v>
      </c>
      <c r="P81" t="s">
        <v>183</v>
      </c>
      <c r="Q81" t="s">
        <v>56</v>
      </c>
      <c r="R81" s="1" t="d">
        <v>2024-10-31</v>
      </c>
      <c r="S81" t="s">
        <v>33</v>
      </c>
      <c r="T81" t="s">
        <v>34</v>
      </c>
      <c r="W81" t="s">
        <v>35</v>
      </c>
      <c r="Y81" s="1" t="d">
        <f t="shared" si="3"/>
        <v>2024-10-14</v>
      </c>
      <c r="Z81">
        <f t="shared" si="4"/>
        <v>11</v>
      </c>
      <c r="AA81" t="str">
        <f t="shared" si="5"/>
        <v>Low (1-20%)</v>
      </c>
    </row>
    <row r="82" spans="1:27">
      <c r="A82" t="s">
        <v>415</v>
      </c>
      <c r="B82" s="1" t="d">
        <v>2024-10-20</v>
      </c>
      <c r="C82" t="s">
        <v>416</v>
      </c>
      <c r="D82" t="s">
        <v>25</v>
      </c>
      <c r="E82" t="s">
        <v>417</v>
      </c>
      <c r="F82" t="s">
        <v>40</v>
      </c>
      <c r="G82" t="s">
        <v>418</v>
      </c>
      <c r="H82">
        <v>2899</v>
      </c>
      <c r="I82">
        <v>1</v>
      </c>
      <c r="J82">
        <v>2899</v>
      </c>
      <c r="L82">
        <v>0</v>
      </c>
      <c r="M82" t="s">
        <v>64</v>
      </c>
      <c r="N82" t="s">
        <v>30</v>
      </c>
      <c r="O82" t="s">
        <v>188</v>
      </c>
      <c r="P82" t="s">
        <v>189</v>
      </c>
      <c r="Q82" t="s">
        <v>56</v>
      </c>
      <c r="R82" s="1" t="d">
        <v>2024-11-02</v>
      </c>
      <c r="S82" t="s">
        <v>33</v>
      </c>
      <c r="T82" t="s">
        <v>46</v>
      </c>
      <c r="U82" t="s">
        <v>79</v>
      </c>
      <c r="V82" s="1" t="d">
        <v>2024-11-30</v>
      </c>
      <c r="W82" t="s">
        <v>48</v>
      </c>
      <c r="Y82" s="1" t="d">
        <f t="shared" si="3"/>
        <v>2024-10-14</v>
      </c>
      <c r="Z82">
        <f t="shared" si="4"/>
        <v>13</v>
      </c>
      <c r="AA82" t="str">
        <f t="shared" si="5"/>
        <v>No Discount</v>
      </c>
    </row>
    <row r="83" spans="1:27">
      <c r="A83" t="s">
        <v>419</v>
      </c>
      <c r="B83" s="1" t="d">
        <v>2024-10-20</v>
      </c>
      <c r="C83" t="s">
        <v>420</v>
      </c>
      <c r="D83" t="s">
        <v>38</v>
      </c>
      <c r="E83" t="s">
        <v>421</v>
      </c>
      <c r="F83" t="s">
        <v>27</v>
      </c>
      <c r="G83" t="s">
        <v>422</v>
      </c>
      <c r="H83">
        <v>1099</v>
      </c>
      <c r="I83">
        <v>2</v>
      </c>
      <c r="J83">
        <v>2198</v>
      </c>
      <c r="L83">
        <v>0</v>
      </c>
      <c r="M83" t="s">
        <v>29</v>
      </c>
      <c r="N83" t="s">
        <v>65</v>
      </c>
      <c r="O83" t="s">
        <v>194</v>
      </c>
      <c r="P83" t="s">
        <v>183</v>
      </c>
      <c r="Q83" t="s">
        <v>56</v>
      </c>
      <c r="R83" s="1" t="d">
        <v>2024-10-30</v>
      </c>
      <c r="S83" t="s">
        <v>33</v>
      </c>
      <c r="T83" t="s">
        <v>34</v>
      </c>
      <c r="W83" t="s">
        <v>35</v>
      </c>
      <c r="Y83" s="1" t="d">
        <f t="shared" si="3"/>
        <v>2024-10-14</v>
      </c>
      <c r="Z83">
        <f t="shared" si="4"/>
        <v>10</v>
      </c>
      <c r="AA83" t="str">
        <f t="shared" si="5"/>
        <v>No Discount</v>
      </c>
    </row>
    <row r="84" spans="1:27">
      <c r="A84" t="s">
        <v>423</v>
      </c>
      <c r="B84" s="1" t="d">
        <v>2024-10-20</v>
      </c>
      <c r="C84" t="s">
        <v>424</v>
      </c>
      <c r="D84" t="s">
        <v>25</v>
      </c>
      <c r="E84" t="s">
        <v>425</v>
      </c>
      <c r="F84" t="s">
        <v>61</v>
      </c>
      <c r="G84" t="s">
        <v>198</v>
      </c>
      <c r="H84">
        <v>5499</v>
      </c>
      <c r="I84">
        <v>1</v>
      </c>
      <c r="J84">
        <v>5499</v>
      </c>
      <c r="K84" t="s">
        <v>63</v>
      </c>
      <c r="L84">
        <v>15</v>
      </c>
      <c r="M84" t="s">
        <v>43</v>
      </c>
      <c r="N84" t="s">
        <v>44</v>
      </c>
      <c r="O84" t="s">
        <v>199</v>
      </c>
      <c r="P84" t="s">
        <v>57</v>
      </c>
      <c r="Q84" t="s">
        <v>56</v>
      </c>
      <c r="R84" s="1" t="d">
        <v>2024-11-03</v>
      </c>
      <c r="S84" t="s">
        <v>33</v>
      </c>
      <c r="T84" t="s">
        <v>46</v>
      </c>
      <c r="U84" t="s">
        <v>47</v>
      </c>
      <c r="V84" s="1" t="d">
        <v>2024-12-01</v>
      </c>
      <c r="W84" t="s">
        <v>48</v>
      </c>
      <c r="Y84" s="1" t="d">
        <f t="shared" si="3"/>
        <v>2024-10-14</v>
      </c>
      <c r="Z84">
        <f t="shared" si="4"/>
        <v>14</v>
      </c>
      <c r="AA84" t="str">
        <f t="shared" si="5"/>
        <v>Low (1-20%)</v>
      </c>
    </row>
    <row r="85" spans="1:27">
      <c r="A85" t="s">
        <v>426</v>
      </c>
      <c r="B85" s="1" t="d">
        <v>2024-10-21</v>
      </c>
      <c r="C85" t="s">
        <v>427</v>
      </c>
      <c r="D85" t="s">
        <v>25</v>
      </c>
      <c r="E85" t="s">
        <v>428</v>
      </c>
      <c r="F85" t="s">
        <v>71</v>
      </c>
      <c r="G85" t="s">
        <v>429</v>
      </c>
      <c r="H85">
        <v>799</v>
      </c>
      <c r="I85">
        <v>1</v>
      </c>
      <c r="J85">
        <v>799</v>
      </c>
      <c r="L85">
        <v>0</v>
      </c>
      <c r="M85" t="s">
        <v>55</v>
      </c>
      <c r="N85" t="s">
        <v>30</v>
      </c>
      <c r="O85" t="s">
        <v>204</v>
      </c>
      <c r="P85" t="s">
        <v>97</v>
      </c>
      <c r="Q85" t="s">
        <v>31</v>
      </c>
      <c r="S85" t="s">
        <v>120</v>
      </c>
      <c r="T85" t="s">
        <v>34</v>
      </c>
      <c r="W85" t="s">
        <v>35</v>
      </c>
      <c r="Y85" s="1" t="d">
        <f t="shared" si="3"/>
        <v>2024-10-21</v>
      </c>
      <c r="Z85" t="str">
        <f t="shared" si="4"/>
        <v/>
      </c>
      <c r="AA85" t="str">
        <f t="shared" si="5"/>
        <v>No Discount</v>
      </c>
    </row>
    <row r="86" spans="1:27">
      <c r="A86" t="s">
        <v>430</v>
      </c>
      <c r="B86" s="1" t="d">
        <v>2024-10-21</v>
      </c>
      <c r="C86" t="s">
        <v>431</v>
      </c>
      <c r="D86" t="s">
        <v>25</v>
      </c>
      <c r="E86" t="s">
        <v>432</v>
      </c>
      <c r="F86" t="s">
        <v>53</v>
      </c>
      <c r="G86" t="s">
        <v>433</v>
      </c>
      <c r="H86">
        <v>1599</v>
      </c>
      <c r="I86">
        <v>1</v>
      </c>
      <c r="J86">
        <v>1599</v>
      </c>
      <c r="L86">
        <v>0</v>
      </c>
      <c r="M86" t="s">
        <v>111</v>
      </c>
      <c r="N86" t="s">
        <v>65</v>
      </c>
      <c r="O86" t="s">
        <v>209</v>
      </c>
      <c r="P86" t="s">
        <v>97</v>
      </c>
      <c r="Q86" t="s">
        <v>31</v>
      </c>
      <c r="R86" s="1" t="d">
        <v>2024-11-02</v>
      </c>
      <c r="S86" t="s">
        <v>33</v>
      </c>
      <c r="T86" t="s">
        <v>34</v>
      </c>
      <c r="W86" t="s">
        <v>35</v>
      </c>
      <c r="Y86" s="1" t="d">
        <f t="shared" si="3"/>
        <v>2024-10-21</v>
      </c>
      <c r="Z86">
        <f t="shared" si="4"/>
        <v>12</v>
      </c>
      <c r="AA86" t="str">
        <f t="shared" si="5"/>
        <v>No Discount</v>
      </c>
    </row>
    <row r="87" spans="1:27">
      <c r="A87" t="s">
        <v>434</v>
      </c>
      <c r="B87" s="1" t="d">
        <v>2024-10-21</v>
      </c>
      <c r="C87" t="s">
        <v>435</v>
      </c>
      <c r="D87" t="s">
        <v>38</v>
      </c>
      <c r="E87" t="s">
        <v>436</v>
      </c>
      <c r="F87" t="s">
        <v>40</v>
      </c>
      <c r="G87" t="s">
        <v>437</v>
      </c>
      <c r="H87">
        <v>2699</v>
      </c>
      <c r="I87">
        <v>1</v>
      </c>
      <c r="J87">
        <v>2699</v>
      </c>
      <c r="K87" t="s">
        <v>42</v>
      </c>
      <c r="L87">
        <v>20</v>
      </c>
      <c r="M87" t="s">
        <v>43</v>
      </c>
      <c r="N87" t="s">
        <v>44</v>
      </c>
      <c r="O87" t="s">
        <v>214</v>
      </c>
      <c r="P87" t="s">
        <v>113</v>
      </c>
      <c r="Q87" t="s">
        <v>45</v>
      </c>
      <c r="R87" s="1" t="d">
        <v>2024-11-01</v>
      </c>
      <c r="S87" t="s">
        <v>33</v>
      </c>
      <c r="T87" t="s">
        <v>46</v>
      </c>
      <c r="U87" t="s">
        <v>68</v>
      </c>
      <c r="V87" s="1" t="d">
        <v>2024-11-30</v>
      </c>
      <c r="W87" t="s">
        <v>48</v>
      </c>
      <c r="Y87" s="1" t="d">
        <f t="shared" si="3"/>
        <v>2024-10-21</v>
      </c>
      <c r="Z87">
        <f t="shared" si="4"/>
        <v>11</v>
      </c>
      <c r="AA87" t="str">
        <f t="shared" si="5"/>
        <v>Low (1-20%)</v>
      </c>
    </row>
    <row r="88" spans="1:27">
      <c r="A88" t="s">
        <v>438</v>
      </c>
      <c r="B88" s="1" t="d">
        <v>2024-10-21</v>
      </c>
      <c r="C88" t="s">
        <v>439</v>
      </c>
      <c r="D88" t="s">
        <v>25</v>
      </c>
      <c r="E88" t="s">
        <v>440</v>
      </c>
      <c r="F88" t="s">
        <v>27</v>
      </c>
      <c r="G88" t="s">
        <v>441</v>
      </c>
      <c r="H88">
        <v>1499</v>
      </c>
      <c r="I88">
        <v>1</v>
      </c>
      <c r="J88">
        <v>1499</v>
      </c>
      <c r="L88">
        <v>0</v>
      </c>
      <c r="M88" t="s">
        <v>29</v>
      </c>
      <c r="N88" t="s">
        <v>30</v>
      </c>
      <c r="O88" t="s">
        <v>31</v>
      </c>
      <c r="P88" t="s">
        <v>32</v>
      </c>
      <c r="Q88" t="s">
        <v>31</v>
      </c>
      <c r="R88" s="1" t="d">
        <v>2024-11-02</v>
      </c>
      <c r="S88" t="s">
        <v>33</v>
      </c>
      <c r="T88" t="s">
        <v>34</v>
      </c>
      <c r="W88" t="s">
        <v>35</v>
      </c>
      <c r="Y88" s="1" t="d">
        <f t="shared" si="3"/>
        <v>2024-10-21</v>
      </c>
      <c r="Z88">
        <f t="shared" si="4"/>
        <v>12</v>
      </c>
      <c r="AA88" t="str">
        <f t="shared" si="5"/>
        <v>No Discount</v>
      </c>
    </row>
    <row r="89" spans="1:27">
      <c r="A89" t="s">
        <v>442</v>
      </c>
      <c r="B89" s="1" t="d">
        <v>2024-10-22</v>
      </c>
      <c r="C89" t="s">
        <v>443</v>
      </c>
      <c r="D89" t="s">
        <v>25</v>
      </c>
      <c r="E89" t="s">
        <v>444</v>
      </c>
      <c r="F89" t="s">
        <v>61</v>
      </c>
      <c r="G89" t="s">
        <v>445</v>
      </c>
      <c r="H89">
        <v>3299</v>
      </c>
      <c r="I89">
        <v>1</v>
      </c>
      <c r="J89">
        <v>3299</v>
      </c>
      <c r="L89">
        <v>0</v>
      </c>
      <c r="M89" t="s">
        <v>64</v>
      </c>
      <c r="N89" t="s">
        <v>65</v>
      </c>
      <c r="O89" t="s">
        <v>45</v>
      </c>
      <c r="P89" t="s">
        <v>45</v>
      </c>
      <c r="Q89" t="s">
        <v>45</v>
      </c>
      <c r="R89" s="1" t="d">
        <v>2024-11-04</v>
      </c>
      <c r="S89" t="s">
        <v>33</v>
      </c>
      <c r="T89" t="s">
        <v>46</v>
      </c>
      <c r="U89" t="s">
        <v>104</v>
      </c>
      <c r="V89" s="1" t="d">
        <v>2024-12-03</v>
      </c>
      <c r="W89" t="s">
        <v>48</v>
      </c>
      <c r="Y89" s="1" t="d">
        <f t="shared" si="3"/>
        <v>2024-10-21</v>
      </c>
      <c r="Z89">
        <f t="shared" si="4"/>
        <v>13</v>
      </c>
      <c r="AA89" t="str">
        <f t="shared" si="5"/>
        <v>No Discount</v>
      </c>
    </row>
    <row r="90" spans="1:27">
      <c r="A90" t="s">
        <v>446</v>
      </c>
      <c r="B90" s="1" t="d">
        <v>2024-10-22</v>
      </c>
      <c r="C90" t="s">
        <v>447</v>
      </c>
      <c r="D90" t="s">
        <v>25</v>
      </c>
      <c r="E90" t="s">
        <v>448</v>
      </c>
      <c r="F90" t="s">
        <v>71</v>
      </c>
      <c r="G90" t="s">
        <v>449</v>
      </c>
      <c r="H90">
        <v>499</v>
      </c>
      <c r="I90">
        <v>2</v>
      </c>
      <c r="J90">
        <v>998</v>
      </c>
      <c r="K90" t="s">
        <v>110</v>
      </c>
      <c r="L90">
        <v>10</v>
      </c>
      <c r="M90" t="s">
        <v>43</v>
      </c>
      <c r="N90" t="s">
        <v>44</v>
      </c>
      <c r="O90" t="s">
        <v>90</v>
      </c>
      <c r="P90" t="s">
        <v>91</v>
      </c>
      <c r="Q90" t="s">
        <v>45</v>
      </c>
      <c r="R90" s="1" t="d">
        <v>2024-11-01</v>
      </c>
      <c r="S90" t="s">
        <v>33</v>
      </c>
      <c r="T90" t="s">
        <v>34</v>
      </c>
      <c r="W90" t="s">
        <v>35</v>
      </c>
      <c r="Y90" s="1" t="d">
        <f t="shared" si="3"/>
        <v>2024-10-21</v>
      </c>
      <c r="Z90">
        <f t="shared" si="4"/>
        <v>10</v>
      </c>
      <c r="AA90" t="str">
        <f t="shared" si="5"/>
        <v>Low (1-20%)</v>
      </c>
    </row>
    <row r="91" spans="1:27">
      <c r="A91" t="s">
        <v>450</v>
      </c>
      <c r="B91" s="1" t="d">
        <v>2024-10-22</v>
      </c>
      <c r="C91" t="s">
        <v>451</v>
      </c>
      <c r="D91" t="s">
        <v>38</v>
      </c>
      <c r="E91" t="s">
        <v>452</v>
      </c>
      <c r="F91" t="s">
        <v>53</v>
      </c>
      <c r="G91" t="s">
        <v>453</v>
      </c>
      <c r="H91">
        <v>2399</v>
      </c>
      <c r="I91">
        <v>1</v>
      </c>
      <c r="J91">
        <v>2399</v>
      </c>
      <c r="L91">
        <v>0</v>
      </c>
      <c r="M91" t="s">
        <v>29</v>
      </c>
      <c r="N91" t="s">
        <v>30</v>
      </c>
      <c r="O91" t="s">
        <v>66</v>
      </c>
      <c r="P91" t="s">
        <v>67</v>
      </c>
      <c r="Q91" t="s">
        <v>56</v>
      </c>
      <c r="R91" s="1" t="d">
        <v>2024-11-03</v>
      </c>
      <c r="S91" t="s">
        <v>33</v>
      </c>
      <c r="T91" t="s">
        <v>34</v>
      </c>
      <c r="W91" t="s">
        <v>35</v>
      </c>
      <c r="Y91" s="1" t="d">
        <f t="shared" si="3"/>
        <v>2024-10-21</v>
      </c>
      <c r="Z91">
        <f t="shared" si="4"/>
        <v>12</v>
      </c>
      <c r="AA91" t="str">
        <f t="shared" si="5"/>
        <v>No Discount</v>
      </c>
    </row>
    <row r="92" spans="1:27">
      <c r="A92" t="s">
        <v>454</v>
      </c>
      <c r="B92" s="1" t="d">
        <v>2024-10-22</v>
      </c>
      <c r="C92" t="s">
        <v>455</v>
      </c>
      <c r="D92" t="s">
        <v>25</v>
      </c>
      <c r="E92" t="s">
        <v>456</v>
      </c>
      <c r="F92" t="s">
        <v>40</v>
      </c>
      <c r="G92" t="s">
        <v>457</v>
      </c>
      <c r="H92">
        <v>2599</v>
      </c>
      <c r="I92">
        <v>1</v>
      </c>
      <c r="J92">
        <v>2599</v>
      </c>
      <c r="L92">
        <v>0</v>
      </c>
      <c r="M92" t="s">
        <v>55</v>
      </c>
      <c r="N92" t="s">
        <v>65</v>
      </c>
      <c r="O92" t="s">
        <v>77</v>
      </c>
      <c r="P92" t="s">
        <v>78</v>
      </c>
      <c r="Q92" t="s">
        <v>56</v>
      </c>
      <c r="S92" t="s">
        <v>120</v>
      </c>
      <c r="T92" t="s">
        <v>34</v>
      </c>
      <c r="W92" t="s">
        <v>35</v>
      </c>
      <c r="Y92" s="1" t="d">
        <f t="shared" si="3"/>
        <v>2024-10-21</v>
      </c>
      <c r="Z92" t="str">
        <f t="shared" si="4"/>
        <v/>
      </c>
      <c r="AA92" t="str">
        <f t="shared" si="5"/>
        <v>No Discount</v>
      </c>
    </row>
    <row r="93" spans="1:27">
      <c r="A93" t="s">
        <v>458</v>
      </c>
      <c r="B93" s="1" t="d">
        <v>2024-10-23</v>
      </c>
      <c r="C93" t="s">
        <v>459</v>
      </c>
      <c r="D93" t="s">
        <v>25</v>
      </c>
      <c r="E93" t="s">
        <v>460</v>
      </c>
      <c r="F93" t="s">
        <v>27</v>
      </c>
      <c r="G93" t="s">
        <v>461</v>
      </c>
      <c r="H93">
        <v>1399</v>
      </c>
      <c r="I93">
        <v>1</v>
      </c>
      <c r="J93">
        <v>1399</v>
      </c>
      <c r="K93" t="s">
        <v>42</v>
      </c>
      <c r="L93">
        <v>20</v>
      </c>
      <c r="M93" t="s">
        <v>111</v>
      </c>
      <c r="N93" t="s">
        <v>44</v>
      </c>
      <c r="O93" t="s">
        <v>84</v>
      </c>
      <c r="P93" t="s">
        <v>32</v>
      </c>
      <c r="Q93" t="s">
        <v>31</v>
      </c>
      <c r="R93" s="1" t="d">
        <v>2024-11-03</v>
      </c>
      <c r="S93" t="s">
        <v>33</v>
      </c>
      <c r="T93" t="s">
        <v>46</v>
      </c>
      <c r="U93" t="s">
        <v>47</v>
      </c>
      <c r="V93" s="1" t="d">
        <v>2024-12-02</v>
      </c>
      <c r="W93" t="s">
        <v>48</v>
      </c>
      <c r="Y93" s="1" t="d">
        <f t="shared" si="3"/>
        <v>2024-10-21</v>
      </c>
      <c r="Z93">
        <f t="shared" si="4"/>
        <v>11</v>
      </c>
      <c r="AA93" t="str">
        <f t="shared" si="5"/>
        <v>Low (1-20%)</v>
      </c>
    </row>
    <row r="94" spans="1:27">
      <c r="A94" t="s">
        <v>462</v>
      </c>
      <c r="B94" s="1" t="d">
        <v>2024-10-23</v>
      </c>
      <c r="C94" t="s">
        <v>463</v>
      </c>
      <c r="D94" t="s">
        <v>25</v>
      </c>
      <c r="E94" t="s">
        <v>464</v>
      </c>
      <c r="F94" t="s">
        <v>61</v>
      </c>
      <c r="G94" t="s">
        <v>465</v>
      </c>
      <c r="H94">
        <v>4299</v>
      </c>
      <c r="I94">
        <v>1</v>
      </c>
      <c r="J94">
        <v>4299</v>
      </c>
      <c r="L94">
        <v>0</v>
      </c>
      <c r="M94" t="s">
        <v>43</v>
      </c>
      <c r="N94" t="s">
        <v>30</v>
      </c>
      <c r="O94" t="s">
        <v>96</v>
      </c>
      <c r="P94" t="s">
        <v>97</v>
      </c>
      <c r="Q94" t="s">
        <v>31</v>
      </c>
      <c r="R94" s="1" t="d">
        <v>2024-11-05</v>
      </c>
      <c r="S94" t="s">
        <v>33</v>
      </c>
      <c r="T94" t="s">
        <v>34</v>
      </c>
      <c r="W94" t="s">
        <v>35</v>
      </c>
      <c r="Y94" s="1" t="d">
        <f t="shared" si="3"/>
        <v>2024-10-21</v>
      </c>
      <c r="Z94">
        <f t="shared" si="4"/>
        <v>13</v>
      </c>
      <c r="AA94" t="str">
        <f t="shared" si="5"/>
        <v>No Discount</v>
      </c>
    </row>
    <row r="95" spans="1:27">
      <c r="A95" t="s">
        <v>466</v>
      </c>
      <c r="B95" s="1" t="d">
        <v>2024-10-23</v>
      </c>
      <c r="C95" t="s">
        <v>467</v>
      </c>
      <c r="D95" t="s">
        <v>38</v>
      </c>
      <c r="E95" t="s">
        <v>468</v>
      </c>
      <c r="F95" t="s">
        <v>71</v>
      </c>
      <c r="G95" t="s">
        <v>469</v>
      </c>
      <c r="H95">
        <v>399</v>
      </c>
      <c r="I95">
        <v>3</v>
      </c>
      <c r="J95">
        <v>1197</v>
      </c>
      <c r="L95">
        <v>0</v>
      </c>
      <c r="M95" t="s">
        <v>29</v>
      </c>
      <c r="N95" t="s">
        <v>65</v>
      </c>
      <c r="O95" t="s">
        <v>102</v>
      </c>
      <c r="P95" t="s">
        <v>103</v>
      </c>
      <c r="Q95" t="s">
        <v>45</v>
      </c>
      <c r="R95" s="1" t="d">
        <v>2024-11-02</v>
      </c>
      <c r="S95" t="s">
        <v>33</v>
      </c>
      <c r="T95" t="s">
        <v>34</v>
      </c>
      <c r="W95" t="s">
        <v>35</v>
      </c>
      <c r="Y95" s="1" t="d">
        <f t="shared" si="3"/>
        <v>2024-10-21</v>
      </c>
      <c r="Z95">
        <f t="shared" si="4"/>
        <v>10</v>
      </c>
      <c r="AA95" t="str">
        <f t="shared" si="5"/>
        <v>No Discount</v>
      </c>
    </row>
    <row r="96" spans="1:27">
      <c r="A96" t="s">
        <v>470</v>
      </c>
      <c r="B96" s="1" t="d">
        <v>2024-10-23</v>
      </c>
      <c r="C96" t="s">
        <v>471</v>
      </c>
      <c r="D96" t="s">
        <v>25</v>
      </c>
      <c r="E96" t="s">
        <v>472</v>
      </c>
      <c r="F96" t="s">
        <v>53</v>
      </c>
      <c r="G96" t="s">
        <v>473</v>
      </c>
      <c r="H96">
        <v>2199</v>
      </c>
      <c r="I96">
        <v>1</v>
      </c>
      <c r="J96">
        <v>2199</v>
      </c>
      <c r="K96" t="s">
        <v>63</v>
      </c>
      <c r="L96">
        <v>15</v>
      </c>
      <c r="M96" t="s">
        <v>64</v>
      </c>
      <c r="N96" t="s">
        <v>44</v>
      </c>
      <c r="O96" t="s">
        <v>112</v>
      </c>
      <c r="P96" t="s">
        <v>113</v>
      </c>
      <c r="Q96" t="s">
        <v>45</v>
      </c>
      <c r="R96" s="1" t="d">
        <v>2024-11-05</v>
      </c>
      <c r="S96" t="s">
        <v>33</v>
      </c>
      <c r="T96" t="s">
        <v>46</v>
      </c>
      <c r="U96" t="s">
        <v>138</v>
      </c>
      <c r="V96" s="1" t="d">
        <v>2024-12-05</v>
      </c>
      <c r="W96" t="s">
        <v>48</v>
      </c>
      <c r="Y96" s="1" t="d">
        <f t="shared" si="3"/>
        <v>2024-10-21</v>
      </c>
      <c r="Z96">
        <f t="shared" si="4"/>
        <v>13</v>
      </c>
      <c r="AA96" t="str">
        <f t="shared" si="5"/>
        <v>Low (1-20%)</v>
      </c>
    </row>
    <row r="97" spans="1:27">
      <c r="A97" t="s">
        <v>474</v>
      </c>
      <c r="B97" s="1" t="d">
        <v>2024-10-24</v>
      </c>
      <c r="C97" t="s">
        <v>475</v>
      </c>
      <c r="D97" t="s">
        <v>25</v>
      </c>
      <c r="E97" t="s">
        <v>476</v>
      </c>
      <c r="F97" t="s">
        <v>40</v>
      </c>
      <c r="G97" t="s">
        <v>477</v>
      </c>
      <c r="H97">
        <v>2399</v>
      </c>
      <c r="I97">
        <v>1</v>
      </c>
      <c r="J97">
        <v>2399</v>
      </c>
      <c r="L97">
        <v>0</v>
      </c>
      <c r="M97" t="s">
        <v>43</v>
      </c>
      <c r="N97" t="s">
        <v>30</v>
      </c>
      <c r="O97" t="s">
        <v>56</v>
      </c>
      <c r="P97" t="s">
        <v>57</v>
      </c>
      <c r="Q97" t="s">
        <v>56</v>
      </c>
      <c r="R97" s="1" t="d">
        <v>2024-11-04</v>
      </c>
      <c r="S97" t="s">
        <v>33</v>
      </c>
      <c r="T97" t="s">
        <v>34</v>
      </c>
      <c r="W97" t="s">
        <v>35</v>
      </c>
      <c r="Y97" s="1" t="d">
        <f t="shared" si="3"/>
        <v>2024-10-21</v>
      </c>
      <c r="Z97">
        <f t="shared" si="4"/>
        <v>11</v>
      </c>
      <c r="AA97" t="str">
        <f t="shared" si="5"/>
        <v>No Discount</v>
      </c>
    </row>
    <row r="98" spans="1:27">
      <c r="A98" t="s">
        <v>478</v>
      </c>
      <c r="B98" s="1" t="d">
        <v>2024-10-24</v>
      </c>
      <c r="C98" t="s">
        <v>479</v>
      </c>
      <c r="D98" t="s">
        <v>25</v>
      </c>
      <c r="E98" t="s">
        <v>480</v>
      </c>
      <c r="F98" t="s">
        <v>27</v>
      </c>
      <c r="G98" t="s">
        <v>481</v>
      </c>
      <c r="H98">
        <v>1299</v>
      </c>
      <c r="I98">
        <v>1</v>
      </c>
      <c r="J98">
        <v>1299</v>
      </c>
      <c r="L98">
        <v>0</v>
      </c>
      <c r="M98" t="s">
        <v>55</v>
      </c>
      <c r="N98" t="s">
        <v>65</v>
      </c>
      <c r="O98" t="s">
        <v>31</v>
      </c>
      <c r="P98" t="s">
        <v>32</v>
      </c>
      <c r="Q98" t="s">
        <v>31</v>
      </c>
      <c r="R98" s="1" t="d">
        <v>2024-11-06</v>
      </c>
      <c r="S98" t="s">
        <v>33</v>
      </c>
      <c r="T98" t="s">
        <v>46</v>
      </c>
      <c r="U98" t="s">
        <v>79</v>
      </c>
      <c r="V98" s="1" t="d">
        <v>2024-12-05</v>
      </c>
      <c r="W98" t="s">
        <v>48</v>
      </c>
      <c r="Y98" s="1" t="d">
        <f t="shared" si="3"/>
        <v>2024-10-21</v>
      </c>
      <c r="Z98">
        <f t="shared" si="4"/>
        <v>13</v>
      </c>
      <c r="AA98" t="str">
        <f t="shared" si="5"/>
        <v>No Discount</v>
      </c>
    </row>
    <row r="99" spans="1:27">
      <c r="A99" t="s">
        <v>482</v>
      </c>
      <c r="B99" s="1" t="d">
        <v>2024-10-24</v>
      </c>
      <c r="C99" t="s">
        <v>483</v>
      </c>
      <c r="D99" t="s">
        <v>38</v>
      </c>
      <c r="E99" t="s">
        <v>484</v>
      </c>
      <c r="F99" t="s">
        <v>61</v>
      </c>
      <c r="G99" t="s">
        <v>485</v>
      </c>
      <c r="H99">
        <v>2799</v>
      </c>
      <c r="I99">
        <v>1</v>
      </c>
      <c r="J99">
        <v>2799</v>
      </c>
      <c r="K99" t="s">
        <v>42</v>
      </c>
      <c r="L99">
        <v>20</v>
      </c>
      <c r="M99" t="s">
        <v>29</v>
      </c>
      <c r="N99" t="s">
        <v>44</v>
      </c>
      <c r="O99" t="s">
        <v>45</v>
      </c>
      <c r="P99" t="s">
        <v>45</v>
      </c>
      <c r="Q99" t="s">
        <v>45</v>
      </c>
      <c r="R99" s="1" t="d">
        <v>2024-11-05</v>
      </c>
      <c r="S99" t="s">
        <v>33</v>
      </c>
      <c r="T99" t="s">
        <v>34</v>
      </c>
      <c r="W99" t="s">
        <v>35</v>
      </c>
      <c r="Y99" s="1" t="d">
        <f t="shared" si="3"/>
        <v>2024-10-21</v>
      </c>
      <c r="Z99">
        <f t="shared" si="4"/>
        <v>12</v>
      </c>
      <c r="AA99" t="str">
        <f t="shared" si="5"/>
        <v>Low (1-20%)</v>
      </c>
    </row>
    <row r="100" spans="1:27">
      <c r="A100" t="s">
        <v>486</v>
      </c>
      <c r="B100" s="1" t="d">
        <v>2024-10-24</v>
      </c>
      <c r="C100" t="s">
        <v>487</v>
      </c>
      <c r="D100" t="s">
        <v>25</v>
      </c>
      <c r="E100" t="s">
        <v>488</v>
      </c>
      <c r="F100" t="s">
        <v>71</v>
      </c>
      <c r="G100" t="s">
        <v>489</v>
      </c>
      <c r="H100">
        <v>699</v>
      </c>
      <c r="I100">
        <v>1</v>
      </c>
      <c r="J100">
        <v>699</v>
      </c>
      <c r="L100">
        <v>0</v>
      </c>
      <c r="M100" t="s">
        <v>111</v>
      </c>
      <c r="N100" t="s">
        <v>30</v>
      </c>
      <c r="O100" t="s">
        <v>118</v>
      </c>
      <c r="P100" t="s">
        <v>119</v>
      </c>
      <c r="Q100" t="s">
        <v>45</v>
      </c>
      <c r="R100" s="1" t="d">
        <v>2024-11-04</v>
      </c>
      <c r="S100" t="s">
        <v>33</v>
      </c>
      <c r="T100" t="s">
        <v>34</v>
      </c>
      <c r="W100" t="s">
        <v>35</v>
      </c>
      <c r="Y100" s="1" t="d">
        <f t="shared" si="3"/>
        <v>2024-10-21</v>
      </c>
      <c r="Z100">
        <f t="shared" si="4"/>
        <v>11</v>
      </c>
      <c r="AA100" t="str">
        <f t="shared" si="5"/>
        <v>No Discount</v>
      </c>
    </row>
    <row r="101" spans="1:27">
      <c r="A101" t="s">
        <v>490</v>
      </c>
      <c r="B101" s="1" t="d">
        <v>2024-10-25</v>
      </c>
      <c r="C101" t="s">
        <v>491</v>
      </c>
      <c r="D101" t="s">
        <v>25</v>
      </c>
      <c r="E101" t="s">
        <v>492</v>
      </c>
      <c r="F101" t="s">
        <v>53</v>
      </c>
      <c r="G101" t="s">
        <v>493</v>
      </c>
      <c r="H101">
        <v>1699</v>
      </c>
      <c r="I101">
        <v>1</v>
      </c>
      <c r="J101">
        <v>1699</v>
      </c>
      <c r="L101">
        <v>0</v>
      </c>
      <c r="M101" t="s">
        <v>64</v>
      </c>
      <c r="N101" t="s">
        <v>65</v>
      </c>
      <c r="O101" t="s">
        <v>137</v>
      </c>
      <c r="P101" t="s">
        <v>113</v>
      </c>
      <c r="Q101" t="s">
        <v>45</v>
      </c>
      <c r="R101" s="1" t="d">
        <v>2024-11-07</v>
      </c>
      <c r="S101" t="s">
        <v>33</v>
      </c>
      <c r="T101" t="s">
        <v>46</v>
      </c>
      <c r="U101" t="s">
        <v>47</v>
      </c>
      <c r="V101" s="1" t="d">
        <v>2024-12-06</v>
      </c>
      <c r="W101" t="s">
        <v>48</v>
      </c>
      <c r="Y101" s="1" t="d">
        <f t="shared" si="3"/>
        <v>2024-10-21</v>
      </c>
      <c r="Z101">
        <f t="shared" si="4"/>
        <v>13</v>
      </c>
      <c r="AA101" t="str">
        <f t="shared" si="5"/>
        <v>No Discount</v>
      </c>
    </row>
    <row r="102" spans="1:27">
      <c r="A102" t="s">
        <v>494</v>
      </c>
      <c r="B102" s="1" t="d">
        <v>2024-10-25</v>
      </c>
      <c r="C102" t="s">
        <v>495</v>
      </c>
      <c r="D102" t="s">
        <v>25</v>
      </c>
      <c r="E102" t="s">
        <v>496</v>
      </c>
      <c r="F102" t="s">
        <v>40</v>
      </c>
      <c r="G102" t="s">
        <v>149</v>
      </c>
      <c r="H102">
        <v>2799</v>
      </c>
      <c r="I102">
        <v>1</v>
      </c>
      <c r="J102">
        <v>2799</v>
      </c>
      <c r="K102" t="s">
        <v>110</v>
      </c>
      <c r="L102">
        <v>10</v>
      </c>
      <c r="M102" t="s">
        <v>43</v>
      </c>
      <c r="N102" t="s">
        <v>44</v>
      </c>
      <c r="O102" t="s">
        <v>143</v>
      </c>
      <c r="P102" t="s">
        <v>144</v>
      </c>
      <c r="Q102" t="s">
        <v>45</v>
      </c>
      <c r="R102" s="1" t="d">
        <v>2024-11-06</v>
      </c>
      <c r="S102" t="s">
        <v>33</v>
      </c>
      <c r="T102" t="s">
        <v>34</v>
      </c>
      <c r="W102" t="s">
        <v>35</v>
      </c>
      <c r="Y102" s="1" t="d">
        <f t="shared" si="3"/>
        <v>2024-10-21</v>
      </c>
      <c r="Z102">
        <f t="shared" si="4"/>
        <v>12</v>
      </c>
      <c r="AA102" t="str">
        <f t="shared" si="5"/>
        <v>Low (1-20%)</v>
      </c>
    </row>
    <row r="103" spans="1:27">
      <c r="A103" t="s">
        <v>497</v>
      </c>
      <c r="B103" s="1" t="d">
        <v>2024-10-25</v>
      </c>
      <c r="C103" t="s">
        <v>498</v>
      </c>
      <c r="D103" t="s">
        <v>38</v>
      </c>
      <c r="E103" t="s">
        <v>499</v>
      </c>
      <c r="F103" t="s">
        <v>27</v>
      </c>
      <c r="G103" t="s">
        <v>500</v>
      </c>
      <c r="H103">
        <v>1199</v>
      </c>
      <c r="I103">
        <v>2</v>
      </c>
      <c r="J103">
        <v>2398</v>
      </c>
      <c r="L103">
        <v>0</v>
      </c>
      <c r="M103" t="s">
        <v>29</v>
      </c>
      <c r="N103" t="s">
        <v>30</v>
      </c>
      <c r="O103" t="s">
        <v>150</v>
      </c>
      <c r="P103" t="s">
        <v>151</v>
      </c>
      <c r="Q103" t="s">
        <v>31</v>
      </c>
      <c r="R103" s="1" t="d">
        <v>2024-11-05</v>
      </c>
      <c r="S103" t="s">
        <v>33</v>
      </c>
      <c r="T103" t="s">
        <v>46</v>
      </c>
      <c r="U103" t="s">
        <v>68</v>
      </c>
      <c r="V103" s="1" t="d">
        <v>2024-12-04</v>
      </c>
      <c r="W103" t="s">
        <v>48</v>
      </c>
      <c r="Y103" s="1" t="d">
        <f t="shared" si="3"/>
        <v>2024-10-21</v>
      </c>
      <c r="Z103">
        <f t="shared" si="4"/>
        <v>11</v>
      </c>
      <c r="AA103" t="str">
        <f t="shared" si="5"/>
        <v>No Discount</v>
      </c>
    </row>
    <row r="104" spans="1:27">
      <c r="A104" t="s">
        <v>501</v>
      </c>
      <c r="B104" s="1" t="d">
        <v>2024-10-25</v>
      </c>
      <c r="C104" t="s">
        <v>502</v>
      </c>
      <c r="D104" t="s">
        <v>25</v>
      </c>
      <c r="E104" t="s">
        <v>503</v>
      </c>
      <c r="F104" t="s">
        <v>61</v>
      </c>
      <c r="G104" t="s">
        <v>504</v>
      </c>
      <c r="H104">
        <v>5999</v>
      </c>
      <c r="I104">
        <v>1</v>
      </c>
      <c r="J104">
        <v>5999</v>
      </c>
      <c r="L104">
        <v>0</v>
      </c>
      <c r="M104" t="s">
        <v>43</v>
      </c>
      <c r="N104" t="s">
        <v>65</v>
      </c>
      <c r="O104" t="s">
        <v>156</v>
      </c>
      <c r="P104" t="s">
        <v>97</v>
      </c>
      <c r="Q104" t="s">
        <v>31</v>
      </c>
      <c r="R104" s="1" t="d">
        <v>2024-11-08</v>
      </c>
      <c r="S104" t="s">
        <v>33</v>
      </c>
      <c r="T104" t="s">
        <v>34</v>
      </c>
      <c r="W104" t="s">
        <v>35</v>
      </c>
      <c r="Y104" s="1" t="d">
        <f t="shared" si="3"/>
        <v>2024-10-21</v>
      </c>
      <c r="Z104">
        <f t="shared" si="4"/>
        <v>14</v>
      </c>
      <c r="AA104" t="str">
        <f t="shared" si="5"/>
        <v>No Discount</v>
      </c>
    </row>
    <row r="105" spans="1:27">
      <c r="A105" t="s">
        <v>505</v>
      </c>
      <c r="B105" s="1" t="d">
        <v>2024-10-26</v>
      </c>
      <c r="C105" t="s">
        <v>506</v>
      </c>
      <c r="D105" t="s">
        <v>25</v>
      </c>
      <c r="E105" t="s">
        <v>507</v>
      </c>
      <c r="F105" t="s">
        <v>71</v>
      </c>
      <c r="G105" t="s">
        <v>508</v>
      </c>
      <c r="H105">
        <v>1799</v>
      </c>
      <c r="I105">
        <v>1</v>
      </c>
      <c r="J105">
        <v>1799</v>
      </c>
      <c r="K105" t="s">
        <v>42</v>
      </c>
      <c r="L105">
        <v>20</v>
      </c>
      <c r="M105" t="s">
        <v>55</v>
      </c>
      <c r="N105" t="s">
        <v>44</v>
      </c>
      <c r="O105" t="s">
        <v>161</v>
      </c>
      <c r="P105" t="s">
        <v>162</v>
      </c>
      <c r="Q105" t="s">
        <v>45</v>
      </c>
      <c r="S105" t="s">
        <v>120</v>
      </c>
      <c r="T105" t="s">
        <v>34</v>
      </c>
      <c r="W105" t="s">
        <v>35</v>
      </c>
      <c r="Y105" s="1" t="d">
        <f t="shared" si="3"/>
        <v>2024-10-21</v>
      </c>
      <c r="Z105" t="str">
        <f t="shared" si="4"/>
        <v/>
      </c>
      <c r="AA105" t="str">
        <f t="shared" si="5"/>
        <v>Low (1-20%)</v>
      </c>
    </row>
    <row r="106" spans="1:27">
      <c r="A106" t="s">
        <v>509</v>
      </c>
      <c r="B106" s="1" t="d">
        <v>2024-10-26</v>
      </c>
      <c r="C106" t="s">
        <v>510</v>
      </c>
      <c r="D106" t="s">
        <v>25</v>
      </c>
      <c r="E106" t="s">
        <v>511</v>
      </c>
      <c r="F106" t="s">
        <v>53</v>
      </c>
      <c r="G106" t="s">
        <v>512</v>
      </c>
      <c r="H106">
        <v>1999</v>
      </c>
      <c r="I106">
        <v>1</v>
      </c>
      <c r="J106">
        <v>1999</v>
      </c>
      <c r="L106">
        <v>0</v>
      </c>
      <c r="M106" t="s">
        <v>111</v>
      </c>
      <c r="N106" t="s">
        <v>30</v>
      </c>
      <c r="O106" t="s">
        <v>167</v>
      </c>
      <c r="P106" t="s">
        <v>151</v>
      </c>
      <c r="Q106" t="s">
        <v>31</v>
      </c>
      <c r="R106" s="1" t="d">
        <v>2024-11-07</v>
      </c>
      <c r="S106" t="s">
        <v>33</v>
      </c>
      <c r="T106" t="s">
        <v>46</v>
      </c>
      <c r="U106" t="s">
        <v>104</v>
      </c>
      <c r="V106" s="1" t="d">
        <v>2024-12-07</v>
      </c>
      <c r="W106" t="s">
        <v>48</v>
      </c>
      <c r="Y106" s="1" t="d">
        <f t="shared" si="3"/>
        <v>2024-10-21</v>
      </c>
      <c r="Z106">
        <f t="shared" si="4"/>
        <v>12</v>
      </c>
      <c r="AA106" t="str">
        <f t="shared" si="5"/>
        <v>No Discount</v>
      </c>
    </row>
    <row r="107" spans="1:27">
      <c r="A107" t="s">
        <v>513</v>
      </c>
      <c r="B107" s="1" t="d">
        <v>2024-10-26</v>
      </c>
      <c r="C107" t="s">
        <v>514</v>
      </c>
      <c r="D107" t="s">
        <v>38</v>
      </c>
      <c r="E107" t="s">
        <v>515</v>
      </c>
      <c r="F107" t="s">
        <v>40</v>
      </c>
      <c r="G107" t="s">
        <v>516</v>
      </c>
      <c r="H107">
        <v>2499</v>
      </c>
      <c r="I107">
        <v>1</v>
      </c>
      <c r="J107">
        <v>2499</v>
      </c>
      <c r="L107">
        <v>0</v>
      </c>
      <c r="M107" t="s">
        <v>64</v>
      </c>
      <c r="N107" t="s">
        <v>65</v>
      </c>
      <c r="O107" t="s">
        <v>172</v>
      </c>
      <c r="P107" t="s">
        <v>32</v>
      </c>
      <c r="Q107" t="s">
        <v>31</v>
      </c>
      <c r="R107" s="1" t="d">
        <v>2024-11-08</v>
      </c>
      <c r="S107" t="s">
        <v>33</v>
      </c>
      <c r="T107" t="s">
        <v>34</v>
      </c>
      <c r="W107" t="s">
        <v>35</v>
      </c>
      <c r="Y107" s="1" t="d">
        <f t="shared" si="3"/>
        <v>2024-10-21</v>
      </c>
      <c r="Z107">
        <f t="shared" si="4"/>
        <v>13</v>
      </c>
      <c r="AA107" t="str">
        <f t="shared" si="5"/>
        <v>No Discount</v>
      </c>
    </row>
    <row r="108" spans="1:27">
      <c r="A108" t="s">
        <v>517</v>
      </c>
      <c r="B108" s="1" t="d">
        <v>2024-10-26</v>
      </c>
      <c r="C108" t="s">
        <v>518</v>
      </c>
      <c r="D108" t="s">
        <v>25</v>
      </c>
      <c r="E108" t="s">
        <v>519</v>
      </c>
      <c r="F108" t="s">
        <v>27</v>
      </c>
      <c r="G108" t="s">
        <v>520</v>
      </c>
      <c r="H108">
        <v>1599</v>
      </c>
      <c r="I108">
        <v>1</v>
      </c>
      <c r="J108">
        <v>1599</v>
      </c>
      <c r="K108" t="s">
        <v>63</v>
      </c>
      <c r="L108">
        <v>15</v>
      </c>
      <c r="M108" t="s">
        <v>29</v>
      </c>
      <c r="N108" t="s">
        <v>44</v>
      </c>
      <c r="O108" t="s">
        <v>177</v>
      </c>
      <c r="P108" t="s">
        <v>67</v>
      </c>
      <c r="Q108" t="s">
        <v>56</v>
      </c>
      <c r="R108" s="1" t="d">
        <v>2024-11-06</v>
      </c>
      <c r="S108" t="s">
        <v>33</v>
      </c>
      <c r="T108" t="s">
        <v>46</v>
      </c>
      <c r="U108" t="s">
        <v>47</v>
      </c>
      <c r="V108" s="1" t="d">
        <v>2024-12-05</v>
      </c>
      <c r="W108" t="s">
        <v>48</v>
      </c>
      <c r="Y108" s="1" t="d">
        <f t="shared" si="3"/>
        <v>2024-10-21</v>
      </c>
      <c r="Z108">
        <f t="shared" si="4"/>
        <v>11</v>
      </c>
      <c r="AA108" t="str">
        <f t="shared" si="5"/>
        <v>Low (1-20%)</v>
      </c>
    </row>
    <row r="109" spans="1:27">
      <c r="A109" t="s">
        <v>521</v>
      </c>
      <c r="B109" s="1" t="d">
        <v>2024-10-27</v>
      </c>
      <c r="C109" t="s">
        <v>522</v>
      </c>
      <c r="D109" t="s">
        <v>25</v>
      </c>
      <c r="E109" t="s">
        <v>523</v>
      </c>
      <c r="F109" t="s">
        <v>61</v>
      </c>
      <c r="G109" t="s">
        <v>524</v>
      </c>
      <c r="H109">
        <v>3999</v>
      </c>
      <c r="I109">
        <v>1</v>
      </c>
      <c r="J109">
        <v>3999</v>
      </c>
      <c r="L109">
        <v>0</v>
      </c>
      <c r="M109" t="s">
        <v>43</v>
      </c>
      <c r="N109" t="s">
        <v>30</v>
      </c>
      <c r="O109" t="s">
        <v>182</v>
      </c>
      <c r="P109" t="s">
        <v>183</v>
      </c>
      <c r="Q109" t="s">
        <v>56</v>
      </c>
      <c r="R109" s="1" t="d">
        <v>2024-11-09</v>
      </c>
      <c r="S109" t="s">
        <v>33</v>
      </c>
      <c r="T109" t="s">
        <v>34</v>
      </c>
      <c r="W109" t="s">
        <v>35</v>
      </c>
      <c r="Y109" s="1" t="d">
        <f t="shared" si="3"/>
        <v>2024-10-21</v>
      </c>
      <c r="Z109">
        <f t="shared" si="4"/>
        <v>13</v>
      </c>
      <c r="AA109" t="str">
        <f t="shared" si="5"/>
        <v>No Discount</v>
      </c>
    </row>
    <row r="110" spans="1:27">
      <c r="A110" t="s">
        <v>525</v>
      </c>
      <c r="B110" s="1" t="d">
        <v>2024-10-27</v>
      </c>
      <c r="C110" t="s">
        <v>526</v>
      </c>
      <c r="D110" t="s">
        <v>25</v>
      </c>
      <c r="E110" t="s">
        <v>527</v>
      </c>
      <c r="F110" t="s">
        <v>71</v>
      </c>
      <c r="G110" t="s">
        <v>528</v>
      </c>
      <c r="H110">
        <v>599</v>
      </c>
      <c r="I110">
        <v>2</v>
      </c>
      <c r="J110">
        <v>1198</v>
      </c>
      <c r="L110">
        <v>0</v>
      </c>
      <c r="M110" t="s">
        <v>55</v>
      </c>
      <c r="N110" t="s">
        <v>65</v>
      </c>
      <c r="O110" t="s">
        <v>188</v>
      </c>
      <c r="P110" t="s">
        <v>189</v>
      </c>
      <c r="Q110" t="s">
        <v>56</v>
      </c>
      <c r="R110" s="1" t="d">
        <v>2024-11-07</v>
      </c>
      <c r="S110" t="s">
        <v>33</v>
      </c>
      <c r="T110" t="s">
        <v>46</v>
      </c>
      <c r="U110" t="s">
        <v>138</v>
      </c>
      <c r="V110" s="1" t="d">
        <v>2024-12-06</v>
      </c>
      <c r="W110" t="s">
        <v>48</v>
      </c>
      <c r="Y110" s="1" t="d">
        <f t="shared" si="3"/>
        <v>2024-10-21</v>
      </c>
      <c r="Z110">
        <f t="shared" si="4"/>
        <v>11</v>
      </c>
      <c r="AA110" t="str">
        <f t="shared" si="5"/>
        <v>No Discount</v>
      </c>
    </row>
    <row r="111" spans="1:27">
      <c r="A111" t="s">
        <v>529</v>
      </c>
      <c r="B111" s="1" t="d">
        <v>2024-10-27</v>
      </c>
      <c r="C111" t="s">
        <v>530</v>
      </c>
      <c r="D111" t="s">
        <v>38</v>
      </c>
      <c r="E111" t="s">
        <v>531</v>
      </c>
      <c r="F111" t="s">
        <v>53</v>
      </c>
      <c r="G111" t="s">
        <v>532</v>
      </c>
      <c r="H111">
        <v>1799</v>
      </c>
      <c r="I111">
        <v>1</v>
      </c>
      <c r="J111">
        <v>1799</v>
      </c>
      <c r="K111" t="s">
        <v>42</v>
      </c>
      <c r="L111">
        <v>20</v>
      </c>
      <c r="M111" t="s">
        <v>29</v>
      </c>
      <c r="N111" t="s">
        <v>44</v>
      </c>
      <c r="O111" t="s">
        <v>194</v>
      </c>
      <c r="P111" t="s">
        <v>183</v>
      </c>
      <c r="Q111" t="s">
        <v>56</v>
      </c>
      <c r="R111" s="1" t="d">
        <v>2024-11-08</v>
      </c>
      <c r="S111" t="s">
        <v>33</v>
      </c>
      <c r="T111" t="s">
        <v>34</v>
      </c>
      <c r="W111" t="s">
        <v>35</v>
      </c>
      <c r="Y111" s="1" t="d">
        <f t="shared" si="3"/>
        <v>2024-10-21</v>
      </c>
      <c r="Z111">
        <f t="shared" si="4"/>
        <v>12</v>
      </c>
      <c r="AA111" t="str">
        <f t="shared" si="5"/>
        <v>Low (1-20%)</v>
      </c>
    </row>
    <row r="112" spans="1:27">
      <c r="A112" t="s">
        <v>533</v>
      </c>
      <c r="B112" s="1" t="d">
        <v>2024-10-28</v>
      </c>
      <c r="C112" t="s">
        <v>534</v>
      </c>
      <c r="D112" t="s">
        <v>25</v>
      </c>
      <c r="E112" t="s">
        <v>535</v>
      </c>
      <c r="F112" t="s">
        <v>40</v>
      </c>
      <c r="G112" t="s">
        <v>536</v>
      </c>
      <c r="H112">
        <v>3499</v>
      </c>
      <c r="I112">
        <v>1</v>
      </c>
      <c r="J112">
        <v>3499</v>
      </c>
      <c r="K112" t="s">
        <v>537</v>
      </c>
      <c r="L112">
        <v>40</v>
      </c>
      <c r="M112" t="s">
        <v>43</v>
      </c>
      <c r="N112" t="s">
        <v>30</v>
      </c>
      <c r="O112" t="s">
        <v>45</v>
      </c>
      <c r="P112" t="s">
        <v>45</v>
      </c>
      <c r="Q112" t="s">
        <v>45</v>
      </c>
      <c r="R112" s="1" t="d">
        <v>2024-11-02</v>
      </c>
      <c r="S112" t="s">
        <v>33</v>
      </c>
      <c r="T112" t="s">
        <v>46</v>
      </c>
      <c r="U112" t="s">
        <v>47</v>
      </c>
      <c r="V112" s="1" t="d">
        <v>2024-11-18</v>
      </c>
      <c r="W112" t="s">
        <v>48</v>
      </c>
      <c r="Y112" s="1" t="d">
        <f t="shared" si="3"/>
        <v>2024-10-28</v>
      </c>
      <c r="Z112">
        <f t="shared" si="4"/>
        <v>5</v>
      </c>
      <c r="AA112" t="str">
        <f t="shared" si="5"/>
        <v>High (20%+)</v>
      </c>
    </row>
    <row r="113" spans="1:27">
      <c r="A113" t="s">
        <v>538</v>
      </c>
      <c r="B113" s="1" t="d">
        <v>2024-10-28</v>
      </c>
      <c r="C113" t="s">
        <v>539</v>
      </c>
      <c r="D113" t="s">
        <v>25</v>
      </c>
      <c r="E113" t="s">
        <v>540</v>
      </c>
      <c r="F113" t="s">
        <v>61</v>
      </c>
      <c r="G113" t="s">
        <v>541</v>
      </c>
      <c r="H113">
        <v>5999</v>
      </c>
      <c r="I113">
        <v>1</v>
      </c>
      <c r="J113">
        <v>5999</v>
      </c>
      <c r="K113" t="s">
        <v>537</v>
      </c>
      <c r="L113">
        <v>40</v>
      </c>
      <c r="M113" t="s">
        <v>55</v>
      </c>
      <c r="N113" t="s">
        <v>44</v>
      </c>
      <c r="O113" t="s">
        <v>31</v>
      </c>
      <c r="P113" t="s">
        <v>32</v>
      </c>
      <c r="Q113" t="s">
        <v>31</v>
      </c>
      <c r="R113" s="1" t="d">
        <v>2024-11-03</v>
      </c>
      <c r="S113" t="s">
        <v>33</v>
      </c>
      <c r="T113" t="s">
        <v>46</v>
      </c>
      <c r="U113" t="s">
        <v>104</v>
      </c>
      <c r="V113" s="1" t="d">
        <v>2024-11-20</v>
      </c>
      <c r="W113" t="s">
        <v>48</v>
      </c>
      <c r="Y113" s="1" t="d">
        <f t="shared" si="3"/>
        <v>2024-10-28</v>
      </c>
      <c r="Z113">
        <f t="shared" si="4"/>
        <v>6</v>
      </c>
      <c r="AA113" t="str">
        <f t="shared" si="5"/>
        <v>High (20%+)</v>
      </c>
    </row>
    <row r="114" spans="1:27">
      <c r="A114" t="s">
        <v>542</v>
      </c>
      <c r="B114" s="1" t="d">
        <v>2024-10-28</v>
      </c>
      <c r="C114" t="s">
        <v>543</v>
      </c>
      <c r="D114" t="s">
        <v>25</v>
      </c>
      <c r="E114" t="s">
        <v>544</v>
      </c>
      <c r="F114" t="s">
        <v>27</v>
      </c>
      <c r="G114" t="s">
        <v>545</v>
      </c>
      <c r="H114">
        <v>2299</v>
      </c>
      <c r="I114">
        <v>2</v>
      </c>
      <c r="J114">
        <v>4598</v>
      </c>
      <c r="K114" t="s">
        <v>537</v>
      </c>
      <c r="L114">
        <v>40</v>
      </c>
      <c r="M114" t="s">
        <v>29</v>
      </c>
      <c r="N114" t="s">
        <v>65</v>
      </c>
      <c r="O114" t="s">
        <v>102</v>
      </c>
      <c r="P114" t="s">
        <v>103</v>
      </c>
      <c r="Q114" t="s">
        <v>45</v>
      </c>
      <c r="R114" s="1" t="d">
        <v>2024-11-04</v>
      </c>
      <c r="S114" t="s">
        <v>33</v>
      </c>
      <c r="T114" t="s">
        <v>46</v>
      </c>
      <c r="U114" t="s">
        <v>47</v>
      </c>
      <c r="V114" s="1" t="d">
        <v>2024-11-22</v>
      </c>
      <c r="W114" t="s">
        <v>48</v>
      </c>
      <c r="Y114" s="1" t="d">
        <f t="shared" si="3"/>
        <v>2024-10-28</v>
      </c>
      <c r="Z114">
        <f t="shared" si="4"/>
        <v>7</v>
      </c>
      <c r="AA114" t="str">
        <f t="shared" si="5"/>
        <v>High (20%+)</v>
      </c>
    </row>
    <row r="115" spans="1:27">
      <c r="A115" t="s">
        <v>546</v>
      </c>
      <c r="B115" s="1" t="d">
        <v>2024-10-28</v>
      </c>
      <c r="C115" t="s">
        <v>547</v>
      </c>
      <c r="D115" t="s">
        <v>38</v>
      </c>
      <c r="E115" t="s">
        <v>369</v>
      </c>
      <c r="F115" t="s">
        <v>71</v>
      </c>
      <c r="G115" t="s">
        <v>548</v>
      </c>
      <c r="H115">
        <v>1599</v>
      </c>
      <c r="I115">
        <v>1</v>
      </c>
      <c r="J115">
        <v>1599</v>
      </c>
      <c r="K115" t="s">
        <v>537</v>
      </c>
      <c r="L115">
        <v>40</v>
      </c>
      <c r="M115" t="s">
        <v>43</v>
      </c>
      <c r="N115" t="s">
        <v>30</v>
      </c>
      <c r="O115" t="s">
        <v>112</v>
      </c>
      <c r="P115" t="s">
        <v>113</v>
      </c>
      <c r="Q115" t="s">
        <v>45</v>
      </c>
      <c r="R115" s="1" t="d">
        <v>2024-11-03</v>
      </c>
      <c r="S115" t="s">
        <v>33</v>
      </c>
      <c r="T115" t="s">
        <v>34</v>
      </c>
      <c r="W115" t="s">
        <v>35</v>
      </c>
      <c r="Y115" s="1" t="d">
        <f t="shared" si="3"/>
        <v>2024-10-28</v>
      </c>
      <c r="Z115">
        <f t="shared" si="4"/>
        <v>6</v>
      </c>
      <c r="AA115" t="str">
        <f t="shared" si="5"/>
        <v>High (20%+)</v>
      </c>
    </row>
    <row r="116" spans="1:27">
      <c r="A116" t="s">
        <v>549</v>
      </c>
      <c r="B116" s="1" t="d">
        <v>2024-10-28</v>
      </c>
      <c r="C116" t="s">
        <v>550</v>
      </c>
      <c r="D116" t="s">
        <v>25</v>
      </c>
      <c r="E116" t="s">
        <v>551</v>
      </c>
      <c r="F116" t="s">
        <v>53</v>
      </c>
      <c r="G116" t="s">
        <v>254</v>
      </c>
      <c r="H116">
        <v>1899</v>
      </c>
      <c r="I116">
        <v>1</v>
      </c>
      <c r="J116">
        <v>1899</v>
      </c>
      <c r="K116" t="s">
        <v>537</v>
      </c>
      <c r="L116">
        <v>40</v>
      </c>
      <c r="M116" t="s">
        <v>55</v>
      </c>
      <c r="N116" t="s">
        <v>44</v>
      </c>
      <c r="O116" t="s">
        <v>66</v>
      </c>
      <c r="P116" t="s">
        <v>67</v>
      </c>
      <c r="Q116" t="s">
        <v>56</v>
      </c>
      <c r="S116" t="s">
        <v>120</v>
      </c>
      <c r="T116" t="s">
        <v>34</v>
      </c>
      <c r="W116" t="s">
        <v>35</v>
      </c>
      <c r="Y116" s="1" t="d">
        <f t="shared" si="3"/>
        <v>2024-10-28</v>
      </c>
      <c r="Z116" t="str">
        <f t="shared" si="4"/>
        <v/>
      </c>
      <c r="AA116" t="str">
        <f t="shared" si="5"/>
        <v>High (20%+)</v>
      </c>
    </row>
    <row r="117" spans="1:27">
      <c r="A117" t="s">
        <v>552</v>
      </c>
      <c r="B117" s="1" t="d">
        <v>2024-10-29</v>
      </c>
      <c r="C117" t="s">
        <v>553</v>
      </c>
      <c r="D117" t="s">
        <v>25</v>
      </c>
      <c r="E117" t="s">
        <v>554</v>
      </c>
      <c r="F117" t="s">
        <v>40</v>
      </c>
      <c r="G117" t="s">
        <v>555</v>
      </c>
      <c r="H117">
        <v>4299</v>
      </c>
      <c r="I117">
        <v>1</v>
      </c>
      <c r="J117">
        <v>4299</v>
      </c>
      <c r="K117" t="s">
        <v>537</v>
      </c>
      <c r="L117">
        <v>40</v>
      </c>
      <c r="M117" t="s">
        <v>64</v>
      </c>
      <c r="N117" t="s">
        <v>30</v>
      </c>
      <c r="O117" t="s">
        <v>77</v>
      </c>
      <c r="P117" t="s">
        <v>78</v>
      </c>
      <c r="Q117" t="s">
        <v>56</v>
      </c>
      <c r="R117" s="1" t="d">
        <v>2024-11-05</v>
      </c>
      <c r="S117" t="s">
        <v>33</v>
      </c>
      <c r="T117" t="s">
        <v>46</v>
      </c>
      <c r="U117" t="s">
        <v>68</v>
      </c>
      <c r="V117" s="1" t="d">
        <v>2024-11-25</v>
      </c>
      <c r="W117" t="s">
        <v>48</v>
      </c>
      <c r="Y117" s="1" t="d">
        <f t="shared" si="3"/>
        <v>2024-10-28</v>
      </c>
      <c r="Z117">
        <f t="shared" si="4"/>
        <v>7</v>
      </c>
      <c r="AA117" t="str">
        <f t="shared" si="5"/>
        <v>High (20%+)</v>
      </c>
    </row>
    <row r="118" spans="1:27">
      <c r="A118" t="s">
        <v>556</v>
      </c>
      <c r="B118" s="1" t="d">
        <v>2024-10-29</v>
      </c>
      <c r="C118" t="s">
        <v>557</v>
      </c>
      <c r="D118" t="s">
        <v>25</v>
      </c>
      <c r="E118" t="s">
        <v>558</v>
      </c>
      <c r="F118" t="s">
        <v>27</v>
      </c>
      <c r="G118" t="s">
        <v>559</v>
      </c>
      <c r="H118">
        <v>2599</v>
      </c>
      <c r="I118">
        <v>1</v>
      </c>
      <c r="J118">
        <v>2599</v>
      </c>
      <c r="K118" t="s">
        <v>537</v>
      </c>
      <c r="L118">
        <v>40</v>
      </c>
      <c r="M118" t="s">
        <v>29</v>
      </c>
      <c r="N118" t="s">
        <v>65</v>
      </c>
      <c r="O118" t="s">
        <v>84</v>
      </c>
      <c r="P118" t="s">
        <v>32</v>
      </c>
      <c r="Q118" t="s">
        <v>31</v>
      </c>
      <c r="R118" s="1" t="d">
        <v>2024-11-06</v>
      </c>
      <c r="S118" t="s">
        <v>33</v>
      </c>
      <c r="T118" t="s">
        <v>46</v>
      </c>
      <c r="U118" t="s">
        <v>79</v>
      </c>
      <c r="V118" s="1" t="d">
        <v>2024-11-28</v>
      </c>
      <c r="W118" t="s">
        <v>105</v>
      </c>
      <c r="Y118" s="1" t="d">
        <f t="shared" si="3"/>
        <v>2024-10-28</v>
      </c>
      <c r="Z118">
        <f t="shared" si="4"/>
        <v>8</v>
      </c>
      <c r="AA118" t="str">
        <f t="shared" si="5"/>
        <v>High (20%+)</v>
      </c>
    </row>
    <row r="119" spans="1:27">
      <c r="A119" t="s">
        <v>560</v>
      </c>
      <c r="B119" s="1" t="d">
        <v>2024-10-29</v>
      </c>
      <c r="C119" t="s">
        <v>561</v>
      </c>
      <c r="D119" t="s">
        <v>25</v>
      </c>
      <c r="E119" t="s">
        <v>484</v>
      </c>
      <c r="F119" t="s">
        <v>61</v>
      </c>
      <c r="G119" t="s">
        <v>562</v>
      </c>
      <c r="H119">
        <v>3999</v>
      </c>
      <c r="I119">
        <v>1</v>
      </c>
      <c r="J119">
        <v>3999</v>
      </c>
      <c r="K119" t="s">
        <v>537</v>
      </c>
      <c r="L119">
        <v>40</v>
      </c>
      <c r="M119" t="s">
        <v>43</v>
      </c>
      <c r="N119" t="s">
        <v>44</v>
      </c>
      <c r="O119" t="s">
        <v>563</v>
      </c>
      <c r="P119" t="s">
        <v>119</v>
      </c>
      <c r="Q119" t="s">
        <v>45</v>
      </c>
      <c r="R119" s="1" t="d">
        <v>2024-11-07</v>
      </c>
      <c r="S119" t="s">
        <v>33</v>
      </c>
      <c r="T119" t="s">
        <v>46</v>
      </c>
      <c r="U119" t="s">
        <v>47</v>
      </c>
      <c r="V119" s="1" t="d">
        <v>2024-12-01</v>
      </c>
      <c r="W119" t="s">
        <v>48</v>
      </c>
      <c r="Y119" s="1" t="d">
        <f t="shared" si="3"/>
        <v>2024-10-28</v>
      </c>
      <c r="Z119">
        <f t="shared" si="4"/>
        <v>9</v>
      </c>
      <c r="AA119" t="str">
        <f t="shared" si="5"/>
        <v>High (20%+)</v>
      </c>
    </row>
    <row r="120" spans="1:27">
      <c r="A120" t="s">
        <v>564</v>
      </c>
      <c r="B120" s="1" t="d">
        <v>2024-10-29</v>
      </c>
      <c r="C120" t="s">
        <v>565</v>
      </c>
      <c r="D120" t="s">
        <v>38</v>
      </c>
      <c r="E120" t="s">
        <v>566</v>
      </c>
      <c r="F120" t="s">
        <v>40</v>
      </c>
      <c r="G120" t="s">
        <v>567</v>
      </c>
      <c r="H120">
        <v>8999</v>
      </c>
      <c r="I120">
        <v>1</v>
      </c>
      <c r="J120">
        <v>8999</v>
      </c>
      <c r="K120" t="s">
        <v>537</v>
      </c>
      <c r="L120">
        <v>40</v>
      </c>
      <c r="M120" t="s">
        <v>43</v>
      </c>
      <c r="N120" t="s">
        <v>30</v>
      </c>
      <c r="O120" t="s">
        <v>96</v>
      </c>
      <c r="P120" t="s">
        <v>97</v>
      </c>
      <c r="Q120" t="s">
        <v>31</v>
      </c>
      <c r="R120" s="1" t="d">
        <v>2024-11-06</v>
      </c>
      <c r="S120" t="s">
        <v>33</v>
      </c>
      <c r="T120" t="s">
        <v>46</v>
      </c>
      <c r="U120" t="s">
        <v>47</v>
      </c>
      <c r="V120" s="1" t="d">
        <v>2024-12-02</v>
      </c>
      <c r="W120" t="s">
        <v>48</v>
      </c>
      <c r="Y120" s="1" t="d">
        <f t="shared" si="3"/>
        <v>2024-10-28</v>
      </c>
      <c r="Z120">
        <f t="shared" si="4"/>
        <v>8</v>
      </c>
      <c r="AA120" t="str">
        <f t="shared" si="5"/>
        <v>High (20%+)</v>
      </c>
    </row>
    <row r="121" spans="1:27">
      <c r="A121" t="s">
        <v>568</v>
      </c>
      <c r="B121" s="1" t="d">
        <v>2024-10-29</v>
      </c>
      <c r="C121" t="s">
        <v>569</v>
      </c>
      <c r="D121" t="s">
        <v>25</v>
      </c>
      <c r="E121" t="s">
        <v>570</v>
      </c>
      <c r="F121" t="s">
        <v>71</v>
      </c>
      <c r="G121" t="s">
        <v>571</v>
      </c>
      <c r="H121">
        <v>1299</v>
      </c>
      <c r="I121">
        <v>2</v>
      </c>
      <c r="J121">
        <v>2598</v>
      </c>
      <c r="K121" t="s">
        <v>537</v>
      </c>
      <c r="L121">
        <v>40</v>
      </c>
      <c r="M121" t="s">
        <v>55</v>
      </c>
      <c r="N121" t="s">
        <v>65</v>
      </c>
      <c r="O121" t="s">
        <v>90</v>
      </c>
      <c r="P121" t="s">
        <v>91</v>
      </c>
      <c r="Q121" t="s">
        <v>45</v>
      </c>
      <c r="R121" s="1" t="d">
        <v>2024-11-08</v>
      </c>
      <c r="S121" t="s">
        <v>33</v>
      </c>
      <c r="T121" t="s">
        <v>46</v>
      </c>
      <c r="U121" t="s">
        <v>138</v>
      </c>
      <c r="V121" s="1" t="d">
        <v>2024-11-30</v>
      </c>
      <c r="W121" t="s">
        <v>48</v>
      </c>
      <c r="Y121" s="1" t="d">
        <f t="shared" si="3"/>
        <v>2024-10-28</v>
      </c>
      <c r="Z121">
        <f t="shared" si="4"/>
        <v>10</v>
      </c>
      <c r="AA121" t="str">
        <f t="shared" si="5"/>
        <v>High (20%+)</v>
      </c>
    </row>
    <row r="122" spans="1:27">
      <c r="A122" t="s">
        <v>572</v>
      </c>
      <c r="B122" s="1" t="d">
        <v>2024-10-29</v>
      </c>
      <c r="C122" t="s">
        <v>573</v>
      </c>
      <c r="D122" t="s">
        <v>25</v>
      </c>
      <c r="E122" t="s">
        <v>574</v>
      </c>
      <c r="F122" t="s">
        <v>27</v>
      </c>
      <c r="G122" t="s">
        <v>575</v>
      </c>
      <c r="H122">
        <v>1999</v>
      </c>
      <c r="I122">
        <v>1</v>
      </c>
      <c r="J122">
        <v>1999</v>
      </c>
      <c r="K122" t="s">
        <v>537</v>
      </c>
      <c r="L122">
        <v>40</v>
      </c>
      <c r="M122" t="s">
        <v>29</v>
      </c>
      <c r="N122" t="s">
        <v>44</v>
      </c>
      <c r="O122" t="s">
        <v>56</v>
      </c>
      <c r="P122" t="s">
        <v>57</v>
      </c>
      <c r="Q122" t="s">
        <v>56</v>
      </c>
      <c r="R122" s="1" t="d">
        <v>2024-11-07</v>
      </c>
      <c r="S122" t="s">
        <v>33</v>
      </c>
      <c r="T122" t="s">
        <v>46</v>
      </c>
      <c r="U122" t="s">
        <v>68</v>
      </c>
      <c r="V122" s="1" t="d">
        <v>2024-12-03</v>
      </c>
      <c r="W122" t="s">
        <v>48</v>
      </c>
      <c r="Y122" s="1" t="d">
        <f t="shared" si="3"/>
        <v>2024-10-28</v>
      </c>
      <c r="Z122">
        <f t="shared" si="4"/>
        <v>9</v>
      </c>
      <c r="AA122" t="str">
        <f t="shared" si="5"/>
        <v>High (20%+)</v>
      </c>
    </row>
    <row r="123" spans="1:27">
      <c r="A123" t="s">
        <v>576</v>
      </c>
      <c r="B123" s="1" t="d">
        <v>2024-10-30</v>
      </c>
      <c r="C123" t="s">
        <v>577</v>
      </c>
      <c r="D123" t="s">
        <v>25</v>
      </c>
      <c r="E123" t="s">
        <v>578</v>
      </c>
      <c r="F123" t="s">
        <v>53</v>
      </c>
      <c r="G123" t="s">
        <v>579</v>
      </c>
      <c r="H123">
        <v>5499</v>
      </c>
      <c r="I123">
        <v>1</v>
      </c>
      <c r="J123">
        <v>5499</v>
      </c>
      <c r="K123" t="s">
        <v>537</v>
      </c>
      <c r="L123">
        <v>40</v>
      </c>
      <c r="M123" t="s">
        <v>111</v>
      </c>
      <c r="N123" t="s">
        <v>30</v>
      </c>
      <c r="O123" t="s">
        <v>156</v>
      </c>
      <c r="P123" t="s">
        <v>97</v>
      </c>
      <c r="Q123" t="s">
        <v>31</v>
      </c>
      <c r="R123" s="1" t="d">
        <v>2024-11-08</v>
      </c>
      <c r="S123" t="s">
        <v>33</v>
      </c>
      <c r="T123" t="s">
        <v>46</v>
      </c>
      <c r="U123" t="s">
        <v>47</v>
      </c>
      <c r="V123" s="1" t="d">
        <v>2024-12-01</v>
      </c>
      <c r="W123" t="s">
        <v>48</v>
      </c>
      <c r="Y123" s="1" t="d">
        <f t="shared" si="3"/>
        <v>2024-10-28</v>
      </c>
      <c r="Z123">
        <f t="shared" si="4"/>
        <v>9</v>
      </c>
      <c r="AA123" t="str">
        <f t="shared" si="5"/>
        <v>High (20%+)</v>
      </c>
    </row>
    <row r="124" spans="1:27">
      <c r="A124" t="s">
        <v>580</v>
      </c>
      <c r="B124" s="1" t="d">
        <v>2024-10-30</v>
      </c>
      <c r="C124" t="s">
        <v>581</v>
      </c>
      <c r="D124" t="s">
        <v>25</v>
      </c>
      <c r="E124" t="s">
        <v>582</v>
      </c>
      <c r="F124" t="s">
        <v>40</v>
      </c>
      <c r="G124" t="s">
        <v>583</v>
      </c>
      <c r="H124">
        <v>6999</v>
      </c>
      <c r="I124">
        <v>1</v>
      </c>
      <c r="J124">
        <v>6999</v>
      </c>
      <c r="K124" t="s">
        <v>537</v>
      </c>
      <c r="L124">
        <v>40</v>
      </c>
      <c r="M124" t="s">
        <v>43</v>
      </c>
      <c r="N124" t="s">
        <v>65</v>
      </c>
      <c r="O124" t="s">
        <v>31</v>
      </c>
      <c r="P124" t="s">
        <v>32</v>
      </c>
      <c r="Q124" t="s">
        <v>31</v>
      </c>
      <c r="R124" s="1" t="d">
        <v>2024-11-09</v>
      </c>
      <c r="S124" t="s">
        <v>33</v>
      </c>
      <c r="T124" t="s">
        <v>46</v>
      </c>
      <c r="U124" t="s">
        <v>47</v>
      </c>
      <c r="V124" s="1" t="d">
        <v>2024-12-03</v>
      </c>
      <c r="W124" t="s">
        <v>48</v>
      </c>
      <c r="Y124" s="1" t="d">
        <f t="shared" si="3"/>
        <v>2024-10-28</v>
      </c>
      <c r="Z124">
        <f t="shared" si="4"/>
        <v>10</v>
      </c>
      <c r="AA124" t="str">
        <f t="shared" si="5"/>
        <v>High (20%+)</v>
      </c>
    </row>
    <row r="125" spans="1:27">
      <c r="A125" t="s">
        <v>584</v>
      </c>
      <c r="B125" s="1" t="d">
        <v>2024-10-30</v>
      </c>
      <c r="C125" t="s">
        <v>585</v>
      </c>
      <c r="D125" t="s">
        <v>38</v>
      </c>
      <c r="E125" t="s">
        <v>586</v>
      </c>
      <c r="F125" t="s">
        <v>61</v>
      </c>
      <c r="G125" t="s">
        <v>587</v>
      </c>
      <c r="H125">
        <v>4999</v>
      </c>
      <c r="I125">
        <v>1</v>
      </c>
      <c r="J125">
        <v>4999</v>
      </c>
      <c r="K125" t="s">
        <v>537</v>
      </c>
      <c r="L125">
        <v>40</v>
      </c>
      <c r="M125" t="s">
        <v>64</v>
      </c>
      <c r="N125" t="s">
        <v>44</v>
      </c>
      <c r="O125" t="s">
        <v>45</v>
      </c>
      <c r="P125" t="s">
        <v>45</v>
      </c>
      <c r="Q125" t="s">
        <v>45</v>
      </c>
      <c r="R125" s="1" t="d">
        <v>2024-11-10</v>
      </c>
      <c r="S125" t="s">
        <v>33</v>
      </c>
      <c r="T125" t="s">
        <v>34</v>
      </c>
      <c r="W125" t="s">
        <v>35</v>
      </c>
      <c r="Y125" s="1" t="d">
        <f t="shared" si="3"/>
        <v>2024-10-28</v>
      </c>
      <c r="Z125">
        <f t="shared" si="4"/>
        <v>11</v>
      </c>
      <c r="AA125" t="str">
        <f t="shared" si="5"/>
        <v>High (20%+)</v>
      </c>
    </row>
    <row r="126" spans="1:27">
      <c r="A126" t="s">
        <v>588</v>
      </c>
      <c r="B126" s="1" t="d">
        <v>2024-10-30</v>
      </c>
      <c r="C126" t="s">
        <v>589</v>
      </c>
      <c r="D126" t="s">
        <v>25</v>
      </c>
      <c r="E126" t="s">
        <v>590</v>
      </c>
      <c r="F126" t="s">
        <v>71</v>
      </c>
      <c r="G126" t="s">
        <v>591</v>
      </c>
      <c r="H126">
        <v>899</v>
      </c>
      <c r="I126">
        <v>1</v>
      </c>
      <c r="J126">
        <v>899</v>
      </c>
      <c r="K126" t="s">
        <v>537</v>
      </c>
      <c r="L126">
        <v>40</v>
      </c>
      <c r="M126" t="s">
        <v>29</v>
      </c>
      <c r="N126" t="s">
        <v>30</v>
      </c>
      <c r="O126" t="s">
        <v>592</v>
      </c>
      <c r="P126" t="s">
        <v>113</v>
      </c>
      <c r="Q126" t="s">
        <v>45</v>
      </c>
      <c r="R126" s="1" t="d">
        <v>2024-11-10</v>
      </c>
      <c r="S126" t="s">
        <v>33</v>
      </c>
      <c r="T126" t="s">
        <v>34</v>
      </c>
      <c r="W126" t="s">
        <v>35</v>
      </c>
      <c r="Y126" s="1" t="d">
        <f t="shared" si="3"/>
        <v>2024-10-28</v>
      </c>
      <c r="Z126">
        <f t="shared" si="4"/>
        <v>11</v>
      </c>
      <c r="AA126" t="str">
        <f t="shared" si="5"/>
        <v>High (20%+)</v>
      </c>
    </row>
    <row r="127" spans="1:27">
      <c r="A127" t="s">
        <v>593</v>
      </c>
      <c r="B127" s="1" t="d">
        <v>2024-10-30</v>
      </c>
      <c r="C127" t="s">
        <v>594</v>
      </c>
      <c r="D127" t="s">
        <v>25</v>
      </c>
      <c r="E127" t="s">
        <v>595</v>
      </c>
      <c r="F127" t="s">
        <v>27</v>
      </c>
      <c r="G127" t="s">
        <v>596</v>
      </c>
      <c r="H127">
        <v>3299</v>
      </c>
      <c r="I127">
        <v>1</v>
      </c>
      <c r="J127">
        <v>3299</v>
      </c>
      <c r="K127" t="s">
        <v>537</v>
      </c>
      <c r="L127">
        <v>40</v>
      </c>
      <c r="M127" t="s">
        <v>55</v>
      </c>
      <c r="N127" t="s">
        <v>65</v>
      </c>
      <c r="O127" t="s">
        <v>102</v>
      </c>
      <c r="P127" t="s">
        <v>103</v>
      </c>
      <c r="Q127" t="s">
        <v>45</v>
      </c>
      <c r="R127" s="1" t="d">
        <v>2024-11-12</v>
      </c>
      <c r="S127" t="s">
        <v>33</v>
      </c>
      <c r="T127" t="s">
        <v>46</v>
      </c>
      <c r="U127" t="s">
        <v>104</v>
      </c>
      <c r="V127" s="1" t="d">
        <v>2024-12-05</v>
      </c>
      <c r="W127" t="s">
        <v>105</v>
      </c>
      <c r="Y127" s="1" t="d">
        <f t="shared" si="3"/>
        <v>2024-10-28</v>
      </c>
      <c r="Z127">
        <f t="shared" si="4"/>
        <v>13</v>
      </c>
      <c r="AA127" t="str">
        <f t="shared" si="5"/>
        <v>High (20%+)</v>
      </c>
    </row>
    <row r="128" spans="1:27">
      <c r="A128" t="s">
        <v>597</v>
      </c>
      <c r="B128" s="1" t="d">
        <v>2024-10-31</v>
      </c>
      <c r="C128" t="s">
        <v>598</v>
      </c>
      <c r="D128" t="s">
        <v>25</v>
      </c>
      <c r="E128" t="s">
        <v>599</v>
      </c>
      <c r="F128" t="s">
        <v>40</v>
      </c>
      <c r="G128" t="s">
        <v>600</v>
      </c>
      <c r="H128">
        <v>7499</v>
      </c>
      <c r="I128">
        <v>1</v>
      </c>
      <c r="J128">
        <v>7499</v>
      </c>
      <c r="K128" t="s">
        <v>537</v>
      </c>
      <c r="L128">
        <v>40</v>
      </c>
      <c r="M128" t="s">
        <v>43</v>
      </c>
      <c r="N128" t="s">
        <v>30</v>
      </c>
      <c r="O128" t="s">
        <v>112</v>
      </c>
      <c r="P128" t="s">
        <v>113</v>
      </c>
      <c r="Q128" t="s">
        <v>45</v>
      </c>
      <c r="R128" s="1" t="d">
        <v>2024-11-11</v>
      </c>
      <c r="S128" t="s">
        <v>33</v>
      </c>
      <c r="T128" t="s">
        <v>46</v>
      </c>
      <c r="U128" t="s">
        <v>47</v>
      </c>
      <c r="V128" s="1" t="d">
        <v>2024-12-04</v>
      </c>
      <c r="W128" t="s">
        <v>48</v>
      </c>
      <c r="Y128" s="1" t="d">
        <f t="shared" si="3"/>
        <v>2024-10-28</v>
      </c>
      <c r="Z128">
        <f t="shared" si="4"/>
        <v>11</v>
      </c>
      <c r="AA128" t="str">
        <f t="shared" si="5"/>
        <v>High (20%+)</v>
      </c>
    </row>
    <row r="129" spans="1:27">
      <c r="A129" t="s">
        <v>601</v>
      </c>
      <c r="B129" s="1" t="d">
        <v>2024-10-31</v>
      </c>
      <c r="C129" t="s">
        <v>602</v>
      </c>
      <c r="D129" t="s">
        <v>25</v>
      </c>
      <c r="E129" t="s">
        <v>603</v>
      </c>
      <c r="F129" t="s">
        <v>53</v>
      </c>
      <c r="G129" t="s">
        <v>604</v>
      </c>
      <c r="H129">
        <v>3299</v>
      </c>
      <c r="I129">
        <v>1</v>
      </c>
      <c r="J129">
        <v>3299</v>
      </c>
      <c r="K129" t="s">
        <v>537</v>
      </c>
      <c r="L129">
        <v>40</v>
      </c>
      <c r="M129" t="s">
        <v>29</v>
      </c>
      <c r="N129" t="s">
        <v>44</v>
      </c>
      <c r="O129" t="s">
        <v>118</v>
      </c>
      <c r="P129" t="s">
        <v>119</v>
      </c>
      <c r="Q129" t="s">
        <v>45</v>
      </c>
      <c r="R129" s="1" t="d">
        <v>2024-11-12</v>
      </c>
      <c r="S129" t="s">
        <v>33</v>
      </c>
      <c r="T129" t="s">
        <v>46</v>
      </c>
      <c r="U129" t="s">
        <v>79</v>
      </c>
      <c r="V129" s="1" t="d">
        <v>2024-12-06</v>
      </c>
      <c r="W129" t="s">
        <v>48</v>
      </c>
      <c r="Y129" s="1" t="d">
        <f t="shared" si="3"/>
        <v>2024-10-28</v>
      </c>
      <c r="Z129">
        <f t="shared" si="4"/>
        <v>12</v>
      </c>
      <c r="AA129" t="str">
        <f t="shared" si="5"/>
        <v>High (20%+)</v>
      </c>
    </row>
    <row r="130" spans="1:27">
      <c r="A130" t="s">
        <v>605</v>
      </c>
      <c r="B130" s="1" t="d">
        <v>2024-10-31</v>
      </c>
      <c r="C130" t="s">
        <v>606</v>
      </c>
      <c r="D130" t="s">
        <v>38</v>
      </c>
      <c r="E130" t="s">
        <v>405</v>
      </c>
      <c r="F130" t="s">
        <v>61</v>
      </c>
      <c r="G130" t="s">
        <v>607</v>
      </c>
      <c r="H130">
        <v>5499</v>
      </c>
      <c r="I130">
        <v>1</v>
      </c>
      <c r="J130">
        <v>5499</v>
      </c>
      <c r="K130" t="s">
        <v>537</v>
      </c>
      <c r="L130">
        <v>40</v>
      </c>
      <c r="M130" t="s">
        <v>64</v>
      </c>
      <c r="N130" t="s">
        <v>65</v>
      </c>
      <c r="O130" t="s">
        <v>137</v>
      </c>
      <c r="P130" t="s">
        <v>113</v>
      </c>
      <c r="Q130" t="s">
        <v>45</v>
      </c>
      <c r="R130" s="1" t="d">
        <v>2024-11-13</v>
      </c>
      <c r="S130" t="s">
        <v>33</v>
      </c>
      <c r="T130" t="s">
        <v>46</v>
      </c>
      <c r="U130" t="s">
        <v>68</v>
      </c>
      <c r="V130" s="1" t="d">
        <v>2024-12-08</v>
      </c>
      <c r="W130" t="s">
        <v>48</v>
      </c>
      <c r="Y130" s="1" t="d">
        <f t="shared" si="3"/>
        <v>2024-10-28</v>
      </c>
      <c r="Z130">
        <f t="shared" si="4"/>
        <v>13</v>
      </c>
      <c r="AA130" t="str">
        <f t="shared" si="5"/>
        <v>High (20%+)</v>
      </c>
    </row>
    <row r="131" spans="1:27">
      <c r="A131" t="s">
        <v>608</v>
      </c>
      <c r="B131" s="1" t="d">
        <v>2024-10-31</v>
      </c>
      <c r="C131" t="s">
        <v>609</v>
      </c>
      <c r="D131" t="s">
        <v>25</v>
      </c>
      <c r="E131" t="s">
        <v>610</v>
      </c>
      <c r="F131" t="s">
        <v>71</v>
      </c>
      <c r="G131" t="s">
        <v>611</v>
      </c>
      <c r="H131">
        <v>1199</v>
      </c>
      <c r="I131">
        <v>1</v>
      </c>
      <c r="J131">
        <v>1199</v>
      </c>
      <c r="K131" t="s">
        <v>537</v>
      </c>
      <c r="L131">
        <v>40</v>
      </c>
      <c r="M131" t="s">
        <v>55</v>
      </c>
      <c r="N131" t="s">
        <v>30</v>
      </c>
      <c r="O131" t="s">
        <v>143</v>
      </c>
      <c r="P131" t="s">
        <v>144</v>
      </c>
      <c r="Q131" t="s">
        <v>45</v>
      </c>
      <c r="S131" t="s">
        <v>120</v>
      </c>
      <c r="T131" t="s">
        <v>34</v>
      </c>
      <c r="W131" t="s">
        <v>35</v>
      </c>
      <c r="Y131" s="1" t="d">
        <f t="shared" ref="Y131:Y194" si="6">B131 - WEEKDAY(B131,2) + 1</f>
        <v>2024-10-28</v>
      </c>
      <c r="Z131" t="str">
        <f t="shared" ref="Z131:Z194" si="7">IF(R131&lt;&gt;"", R131-B131, "")</f>
        <v/>
      </c>
      <c r="AA131" t="str">
        <f t="shared" ref="AA131:AA194" si="8">IF(L131=0, "No Discount", IF(L131&lt;=20, "Low (1-20%)", "High (20%+)"))</f>
        <v>High (20%+)</v>
      </c>
    </row>
    <row r="132" spans="1:27">
      <c r="A132" t="s">
        <v>612</v>
      </c>
      <c r="B132" s="1" t="d">
        <v>2024-10-31</v>
      </c>
      <c r="C132" t="s">
        <v>613</v>
      </c>
      <c r="D132" t="s">
        <v>25</v>
      </c>
      <c r="E132" t="s">
        <v>614</v>
      </c>
      <c r="F132" t="s">
        <v>27</v>
      </c>
      <c r="G132" t="s">
        <v>615</v>
      </c>
      <c r="H132">
        <v>2799</v>
      </c>
      <c r="I132">
        <v>1</v>
      </c>
      <c r="J132">
        <v>2799</v>
      </c>
      <c r="K132" t="s">
        <v>537</v>
      </c>
      <c r="L132">
        <v>40</v>
      </c>
      <c r="M132" t="s">
        <v>111</v>
      </c>
      <c r="N132" t="s">
        <v>44</v>
      </c>
      <c r="O132" t="s">
        <v>150</v>
      </c>
      <c r="P132" t="s">
        <v>151</v>
      </c>
      <c r="Q132" t="s">
        <v>31</v>
      </c>
      <c r="R132" s="1" t="d">
        <v>2024-11-12</v>
      </c>
      <c r="S132" t="s">
        <v>33</v>
      </c>
      <c r="T132" t="s">
        <v>46</v>
      </c>
      <c r="U132" t="s">
        <v>47</v>
      </c>
      <c r="V132" s="1" t="d">
        <v>2024-12-07</v>
      </c>
      <c r="W132" t="s">
        <v>48</v>
      </c>
      <c r="Y132" s="1" t="d">
        <f t="shared" si="6"/>
        <v>2024-10-28</v>
      </c>
      <c r="Z132">
        <f t="shared" si="7"/>
        <v>12</v>
      </c>
      <c r="AA132" t="str">
        <f t="shared" si="8"/>
        <v>High (20%+)</v>
      </c>
    </row>
    <row r="133" spans="1:27">
      <c r="A133" t="s">
        <v>616</v>
      </c>
      <c r="B133" s="1" t="d">
        <v>2024-11-01</v>
      </c>
      <c r="C133" t="s">
        <v>617</v>
      </c>
      <c r="D133" t="s">
        <v>25</v>
      </c>
      <c r="E133" t="s">
        <v>618</v>
      </c>
      <c r="F133" t="s">
        <v>40</v>
      </c>
      <c r="G133" t="s">
        <v>619</v>
      </c>
      <c r="H133">
        <v>3899</v>
      </c>
      <c r="I133">
        <v>1</v>
      </c>
      <c r="J133">
        <v>3899</v>
      </c>
      <c r="K133" t="s">
        <v>537</v>
      </c>
      <c r="L133">
        <v>40</v>
      </c>
      <c r="M133" t="s">
        <v>43</v>
      </c>
      <c r="N133" t="s">
        <v>65</v>
      </c>
      <c r="O133" t="s">
        <v>156</v>
      </c>
      <c r="P133" t="s">
        <v>97</v>
      </c>
      <c r="Q133" t="s">
        <v>31</v>
      </c>
      <c r="R133" s="1" t="d">
        <v>2024-11-10</v>
      </c>
      <c r="S133" t="s">
        <v>33</v>
      </c>
      <c r="T133" t="s">
        <v>46</v>
      </c>
      <c r="U133" t="s">
        <v>104</v>
      </c>
      <c r="V133" s="1" t="d">
        <v>2024-12-05</v>
      </c>
      <c r="W133" t="s">
        <v>48</v>
      </c>
      <c r="Y133" s="1" t="d">
        <f t="shared" si="6"/>
        <v>2024-10-28</v>
      </c>
      <c r="Z133">
        <f t="shared" si="7"/>
        <v>9</v>
      </c>
      <c r="AA133" t="str">
        <f t="shared" si="8"/>
        <v>High (20%+)</v>
      </c>
    </row>
    <row r="134" spans="1:27">
      <c r="A134" t="s">
        <v>620</v>
      </c>
      <c r="B134" s="1" t="d">
        <v>2024-11-01</v>
      </c>
      <c r="C134" t="s">
        <v>621</v>
      </c>
      <c r="D134" t="s">
        <v>25</v>
      </c>
      <c r="E134" t="s">
        <v>622</v>
      </c>
      <c r="F134" t="s">
        <v>53</v>
      </c>
      <c r="G134" t="s">
        <v>623</v>
      </c>
      <c r="H134">
        <v>2999</v>
      </c>
      <c r="I134">
        <v>1</v>
      </c>
      <c r="J134">
        <v>2999</v>
      </c>
      <c r="K134" t="s">
        <v>537</v>
      </c>
      <c r="L134">
        <v>40</v>
      </c>
      <c r="M134" t="s">
        <v>29</v>
      </c>
      <c r="N134" t="s">
        <v>30</v>
      </c>
      <c r="O134" t="s">
        <v>161</v>
      </c>
      <c r="P134" t="s">
        <v>162</v>
      </c>
      <c r="Q134" t="s">
        <v>45</v>
      </c>
      <c r="R134" s="1" t="d">
        <v>2024-11-11</v>
      </c>
      <c r="S134" t="s">
        <v>33</v>
      </c>
      <c r="T134" t="s">
        <v>34</v>
      </c>
      <c r="W134" t="s">
        <v>35</v>
      </c>
      <c r="Y134" s="1" t="d">
        <f t="shared" si="6"/>
        <v>2024-10-28</v>
      </c>
      <c r="Z134">
        <f t="shared" si="7"/>
        <v>10</v>
      </c>
      <c r="AA134" t="str">
        <f t="shared" si="8"/>
        <v>High (20%+)</v>
      </c>
    </row>
    <row r="135" spans="1:27">
      <c r="A135" t="s">
        <v>624</v>
      </c>
      <c r="B135" s="1" t="d">
        <v>2024-11-01</v>
      </c>
      <c r="C135" t="s">
        <v>625</v>
      </c>
      <c r="D135" t="s">
        <v>38</v>
      </c>
      <c r="E135" t="s">
        <v>626</v>
      </c>
      <c r="F135" t="s">
        <v>61</v>
      </c>
      <c r="G135" t="s">
        <v>627</v>
      </c>
      <c r="H135">
        <v>6499</v>
      </c>
      <c r="I135">
        <v>1</v>
      </c>
      <c r="J135">
        <v>6499</v>
      </c>
      <c r="K135" t="s">
        <v>537</v>
      </c>
      <c r="L135">
        <v>40</v>
      </c>
      <c r="M135" t="s">
        <v>43</v>
      </c>
      <c r="N135" t="s">
        <v>44</v>
      </c>
      <c r="O135" t="s">
        <v>167</v>
      </c>
      <c r="P135" t="s">
        <v>151</v>
      </c>
      <c r="Q135" t="s">
        <v>31</v>
      </c>
      <c r="R135" s="1" t="d">
        <v>2024-11-13</v>
      </c>
      <c r="S135" t="s">
        <v>33</v>
      </c>
      <c r="T135" t="s">
        <v>46</v>
      </c>
      <c r="U135" t="s">
        <v>47</v>
      </c>
      <c r="V135" s="1" t="d">
        <v>2024-12-10</v>
      </c>
      <c r="W135" t="s">
        <v>48</v>
      </c>
      <c r="Y135" s="1" t="d">
        <f t="shared" si="6"/>
        <v>2024-10-28</v>
      </c>
      <c r="Z135">
        <f t="shared" si="7"/>
        <v>12</v>
      </c>
      <c r="AA135" t="str">
        <f t="shared" si="8"/>
        <v>High (20%+)</v>
      </c>
    </row>
    <row r="136" spans="1:27">
      <c r="A136" t="s">
        <v>628</v>
      </c>
      <c r="B136" s="1" t="d">
        <v>2024-11-01</v>
      </c>
      <c r="C136" t="s">
        <v>629</v>
      </c>
      <c r="D136" t="s">
        <v>25</v>
      </c>
      <c r="E136" t="s">
        <v>630</v>
      </c>
      <c r="F136" t="s">
        <v>71</v>
      </c>
      <c r="G136" t="s">
        <v>631</v>
      </c>
      <c r="H136">
        <v>999</v>
      </c>
      <c r="I136">
        <v>2</v>
      </c>
      <c r="J136">
        <v>1998</v>
      </c>
      <c r="K136" t="s">
        <v>537</v>
      </c>
      <c r="L136">
        <v>40</v>
      </c>
      <c r="M136" t="s">
        <v>64</v>
      </c>
      <c r="N136" t="s">
        <v>65</v>
      </c>
      <c r="O136" t="s">
        <v>172</v>
      </c>
      <c r="P136" t="s">
        <v>32</v>
      </c>
      <c r="Q136" t="s">
        <v>31</v>
      </c>
      <c r="R136" s="1" t="d">
        <v>2024-11-11</v>
      </c>
      <c r="S136" t="s">
        <v>33</v>
      </c>
      <c r="T136" t="s">
        <v>34</v>
      </c>
      <c r="W136" t="s">
        <v>35</v>
      </c>
      <c r="Y136" s="1" t="d">
        <f t="shared" si="6"/>
        <v>2024-10-28</v>
      </c>
      <c r="Z136">
        <f t="shared" si="7"/>
        <v>10</v>
      </c>
      <c r="AA136" t="str">
        <f t="shared" si="8"/>
        <v>High (20%+)</v>
      </c>
    </row>
    <row r="137" spans="1:27">
      <c r="A137" t="s">
        <v>632</v>
      </c>
      <c r="B137" s="1" t="d">
        <v>2024-11-02</v>
      </c>
      <c r="C137" t="s">
        <v>633</v>
      </c>
      <c r="D137" t="s">
        <v>25</v>
      </c>
      <c r="E137" t="s">
        <v>634</v>
      </c>
      <c r="F137" t="s">
        <v>27</v>
      </c>
      <c r="G137" t="s">
        <v>635</v>
      </c>
      <c r="H137">
        <v>2499</v>
      </c>
      <c r="I137">
        <v>1</v>
      </c>
      <c r="J137">
        <v>2499</v>
      </c>
      <c r="K137" t="s">
        <v>537</v>
      </c>
      <c r="L137">
        <v>40</v>
      </c>
      <c r="M137" t="s">
        <v>55</v>
      </c>
      <c r="N137" t="s">
        <v>30</v>
      </c>
      <c r="O137" t="s">
        <v>177</v>
      </c>
      <c r="P137" t="s">
        <v>67</v>
      </c>
      <c r="Q137" t="s">
        <v>56</v>
      </c>
      <c r="R137" s="1" t="d">
        <v>2024-11-12</v>
      </c>
      <c r="S137" t="s">
        <v>33</v>
      </c>
      <c r="T137" t="s">
        <v>46</v>
      </c>
      <c r="U137" t="s">
        <v>68</v>
      </c>
      <c r="V137" s="1" t="d">
        <v>2024-12-08</v>
      </c>
      <c r="W137" t="s">
        <v>48</v>
      </c>
      <c r="Y137" s="1" t="d">
        <f t="shared" si="6"/>
        <v>2024-10-28</v>
      </c>
      <c r="Z137">
        <f t="shared" si="7"/>
        <v>10</v>
      </c>
      <c r="AA137" t="str">
        <f t="shared" si="8"/>
        <v>High (20%+)</v>
      </c>
    </row>
    <row r="138" spans="1:27">
      <c r="A138" t="s">
        <v>636</v>
      </c>
      <c r="B138" s="1" t="d">
        <v>2024-11-02</v>
      </c>
      <c r="C138" t="s">
        <v>637</v>
      </c>
      <c r="D138" t="s">
        <v>25</v>
      </c>
      <c r="E138" t="s">
        <v>638</v>
      </c>
      <c r="F138" t="s">
        <v>40</v>
      </c>
      <c r="G138" t="s">
        <v>639</v>
      </c>
      <c r="H138">
        <v>4599</v>
      </c>
      <c r="I138">
        <v>1</v>
      </c>
      <c r="J138">
        <v>4599</v>
      </c>
      <c r="K138" t="s">
        <v>537</v>
      </c>
      <c r="L138">
        <v>40</v>
      </c>
      <c r="M138" t="s">
        <v>29</v>
      </c>
      <c r="N138" t="s">
        <v>44</v>
      </c>
      <c r="O138" t="s">
        <v>182</v>
      </c>
      <c r="P138" t="s">
        <v>183</v>
      </c>
      <c r="Q138" t="s">
        <v>56</v>
      </c>
      <c r="R138" s="1" t="d">
        <v>2024-11-14</v>
      </c>
      <c r="S138" t="s">
        <v>33</v>
      </c>
      <c r="T138" t="s">
        <v>46</v>
      </c>
      <c r="U138" t="s">
        <v>47</v>
      </c>
      <c r="V138" s="1" t="d">
        <v>2024-12-12</v>
      </c>
      <c r="W138" t="s">
        <v>48</v>
      </c>
      <c r="Y138" s="1" t="d">
        <f t="shared" si="6"/>
        <v>2024-10-28</v>
      </c>
      <c r="Z138">
        <f t="shared" si="7"/>
        <v>12</v>
      </c>
      <c r="AA138" t="str">
        <f t="shared" si="8"/>
        <v>High (20%+)</v>
      </c>
    </row>
    <row r="139" spans="1:27">
      <c r="A139" t="s">
        <v>640</v>
      </c>
      <c r="B139" s="1" t="d">
        <v>2024-11-02</v>
      </c>
      <c r="C139" t="s">
        <v>641</v>
      </c>
      <c r="D139" t="s">
        <v>25</v>
      </c>
      <c r="E139" t="s">
        <v>642</v>
      </c>
      <c r="F139" t="s">
        <v>53</v>
      </c>
      <c r="G139" t="s">
        <v>643</v>
      </c>
      <c r="H139">
        <v>1799</v>
      </c>
      <c r="I139">
        <v>1</v>
      </c>
      <c r="J139">
        <v>1799</v>
      </c>
      <c r="K139" t="s">
        <v>537</v>
      </c>
      <c r="L139">
        <v>40</v>
      </c>
      <c r="M139" t="s">
        <v>43</v>
      </c>
      <c r="N139" t="s">
        <v>65</v>
      </c>
      <c r="O139" t="s">
        <v>188</v>
      </c>
      <c r="P139" t="s">
        <v>189</v>
      </c>
      <c r="Q139" t="s">
        <v>56</v>
      </c>
      <c r="R139" s="1" t="d">
        <v>2024-11-13</v>
      </c>
      <c r="S139" t="s">
        <v>33</v>
      </c>
      <c r="T139" t="s">
        <v>34</v>
      </c>
      <c r="W139" t="s">
        <v>35</v>
      </c>
      <c r="Y139" s="1" t="d">
        <f t="shared" si="6"/>
        <v>2024-10-28</v>
      </c>
      <c r="Z139">
        <f t="shared" si="7"/>
        <v>11</v>
      </c>
      <c r="AA139" t="str">
        <f t="shared" si="8"/>
        <v>High (20%+)</v>
      </c>
    </row>
    <row r="140" spans="1:27">
      <c r="A140" t="s">
        <v>644</v>
      </c>
      <c r="B140" s="1" t="d">
        <v>2024-11-02</v>
      </c>
      <c r="C140" t="s">
        <v>645</v>
      </c>
      <c r="D140" t="s">
        <v>38</v>
      </c>
      <c r="E140" t="s">
        <v>646</v>
      </c>
      <c r="F140" t="s">
        <v>61</v>
      </c>
      <c r="G140" t="s">
        <v>647</v>
      </c>
      <c r="H140">
        <v>7999</v>
      </c>
      <c r="I140">
        <v>1</v>
      </c>
      <c r="J140">
        <v>7999</v>
      </c>
      <c r="K140" t="s">
        <v>537</v>
      </c>
      <c r="L140">
        <v>40</v>
      </c>
      <c r="M140" t="s">
        <v>111</v>
      </c>
      <c r="N140" t="s">
        <v>30</v>
      </c>
      <c r="O140" t="s">
        <v>194</v>
      </c>
      <c r="P140" t="s">
        <v>183</v>
      </c>
      <c r="Q140" t="s">
        <v>56</v>
      </c>
      <c r="R140" s="1" t="d">
        <v>2024-11-15</v>
      </c>
      <c r="S140" t="s">
        <v>33</v>
      </c>
      <c r="T140" t="s">
        <v>46</v>
      </c>
      <c r="U140" t="s">
        <v>79</v>
      </c>
      <c r="V140" s="1" t="d">
        <v>2024-12-14</v>
      </c>
      <c r="W140" t="s">
        <v>48</v>
      </c>
      <c r="Y140" s="1" t="d">
        <f t="shared" si="6"/>
        <v>2024-10-28</v>
      </c>
      <c r="Z140">
        <f t="shared" si="7"/>
        <v>13</v>
      </c>
      <c r="AA140" t="str">
        <f t="shared" si="8"/>
        <v>High (20%+)</v>
      </c>
    </row>
    <row r="141" spans="1:27">
      <c r="A141" t="s">
        <v>648</v>
      </c>
      <c r="B141" s="1" t="d">
        <v>2024-11-03</v>
      </c>
      <c r="C141" t="s">
        <v>649</v>
      </c>
      <c r="D141" t="s">
        <v>25</v>
      </c>
      <c r="E141" t="s">
        <v>650</v>
      </c>
      <c r="F141" t="s">
        <v>71</v>
      </c>
      <c r="G141" t="s">
        <v>651</v>
      </c>
      <c r="H141">
        <v>2499</v>
      </c>
      <c r="I141">
        <v>1</v>
      </c>
      <c r="J141">
        <v>2499</v>
      </c>
      <c r="K141" t="s">
        <v>537</v>
      </c>
      <c r="L141">
        <v>40</v>
      </c>
      <c r="M141" t="s">
        <v>64</v>
      </c>
      <c r="N141" t="s">
        <v>44</v>
      </c>
      <c r="O141" t="s">
        <v>199</v>
      </c>
      <c r="P141" t="s">
        <v>57</v>
      </c>
      <c r="Q141" t="s">
        <v>56</v>
      </c>
      <c r="R141" s="1" t="d">
        <v>2024-11-14</v>
      </c>
      <c r="S141" t="s">
        <v>33</v>
      </c>
      <c r="T141" t="s">
        <v>46</v>
      </c>
      <c r="U141" t="s">
        <v>138</v>
      </c>
      <c r="V141" s="1" t="d">
        <v>2024-12-12</v>
      </c>
      <c r="W141" t="s">
        <v>48</v>
      </c>
      <c r="Y141" s="1" t="d">
        <f t="shared" si="6"/>
        <v>2024-10-28</v>
      </c>
      <c r="Z141">
        <f t="shared" si="7"/>
        <v>11</v>
      </c>
      <c r="AA141" t="str">
        <f t="shared" si="8"/>
        <v>High (20%+)</v>
      </c>
    </row>
    <row r="142" spans="1:27">
      <c r="A142" t="s">
        <v>652</v>
      </c>
      <c r="B142" s="1" t="d">
        <v>2024-11-03</v>
      </c>
      <c r="C142" t="s">
        <v>653</v>
      </c>
      <c r="D142" t="s">
        <v>25</v>
      </c>
      <c r="E142" t="s">
        <v>654</v>
      </c>
      <c r="F142" t="s">
        <v>27</v>
      </c>
      <c r="G142" t="s">
        <v>655</v>
      </c>
      <c r="H142">
        <v>2299</v>
      </c>
      <c r="I142">
        <v>1</v>
      </c>
      <c r="J142">
        <v>2299</v>
      </c>
      <c r="K142" t="s">
        <v>537</v>
      </c>
      <c r="L142">
        <v>40</v>
      </c>
      <c r="M142" t="s">
        <v>29</v>
      </c>
      <c r="N142" t="s">
        <v>65</v>
      </c>
      <c r="O142" t="s">
        <v>204</v>
      </c>
      <c r="P142" t="s">
        <v>97</v>
      </c>
      <c r="Q142" t="s">
        <v>31</v>
      </c>
      <c r="R142" s="1" t="d">
        <v>2024-11-15</v>
      </c>
      <c r="S142" t="s">
        <v>33</v>
      </c>
      <c r="T142" t="s">
        <v>46</v>
      </c>
      <c r="U142" t="s">
        <v>47</v>
      </c>
      <c r="V142" s="1" t="d">
        <v>2024-12-13</v>
      </c>
      <c r="W142" t="s">
        <v>48</v>
      </c>
      <c r="Y142" s="1" t="d">
        <f t="shared" si="6"/>
        <v>2024-10-28</v>
      </c>
      <c r="Z142">
        <f t="shared" si="7"/>
        <v>12</v>
      </c>
      <c r="AA142" t="str">
        <f t="shared" si="8"/>
        <v>High (20%+)</v>
      </c>
    </row>
    <row r="143" spans="1:27">
      <c r="A143" t="s">
        <v>656</v>
      </c>
      <c r="B143" s="1" t="d">
        <v>2024-11-03</v>
      </c>
      <c r="C143" t="s">
        <v>657</v>
      </c>
      <c r="D143" t="s">
        <v>25</v>
      </c>
      <c r="E143" t="s">
        <v>476</v>
      </c>
      <c r="F143" t="s">
        <v>40</v>
      </c>
      <c r="G143" t="s">
        <v>658</v>
      </c>
      <c r="H143">
        <v>5999</v>
      </c>
      <c r="I143">
        <v>1</v>
      </c>
      <c r="J143">
        <v>5999</v>
      </c>
      <c r="K143" t="s">
        <v>537</v>
      </c>
      <c r="L143">
        <v>40</v>
      </c>
      <c r="M143" t="s">
        <v>43</v>
      </c>
      <c r="N143" t="s">
        <v>30</v>
      </c>
      <c r="O143" t="s">
        <v>209</v>
      </c>
      <c r="P143" t="s">
        <v>97</v>
      </c>
      <c r="Q143" t="s">
        <v>31</v>
      </c>
      <c r="R143" s="1" t="d">
        <v>2024-11-16</v>
      </c>
      <c r="S143" t="s">
        <v>33</v>
      </c>
      <c r="T143" t="s">
        <v>46</v>
      </c>
      <c r="U143" t="s">
        <v>104</v>
      </c>
      <c r="V143" s="1" t="d">
        <v>2024-12-15</v>
      </c>
      <c r="W143" t="s">
        <v>48</v>
      </c>
      <c r="Y143" s="1" t="d">
        <f t="shared" si="6"/>
        <v>2024-10-28</v>
      </c>
      <c r="Z143">
        <f t="shared" si="7"/>
        <v>13</v>
      </c>
      <c r="AA143" t="str">
        <f t="shared" si="8"/>
        <v>High (20%+)</v>
      </c>
    </row>
    <row r="144" spans="1:27">
      <c r="A144" t="s">
        <v>659</v>
      </c>
      <c r="B144" s="1" t="d">
        <v>2024-11-03</v>
      </c>
      <c r="C144" t="s">
        <v>660</v>
      </c>
      <c r="D144" t="s">
        <v>38</v>
      </c>
      <c r="E144" t="s">
        <v>661</v>
      </c>
      <c r="F144" t="s">
        <v>53</v>
      </c>
      <c r="G144" t="s">
        <v>662</v>
      </c>
      <c r="H144">
        <v>2599</v>
      </c>
      <c r="I144">
        <v>1</v>
      </c>
      <c r="J144">
        <v>2599</v>
      </c>
      <c r="K144" t="s">
        <v>537</v>
      </c>
      <c r="L144">
        <v>40</v>
      </c>
      <c r="M144" t="s">
        <v>55</v>
      </c>
      <c r="N144" t="s">
        <v>44</v>
      </c>
      <c r="O144" t="s">
        <v>214</v>
      </c>
      <c r="P144" t="s">
        <v>113</v>
      </c>
      <c r="Q144" t="s">
        <v>45</v>
      </c>
      <c r="R144" s="1" t="d">
        <v>2024-11-15</v>
      </c>
      <c r="S144" t="s">
        <v>33</v>
      </c>
      <c r="T144" t="s">
        <v>34</v>
      </c>
      <c r="W144" t="s">
        <v>35</v>
      </c>
      <c r="Y144" s="1" t="d">
        <f t="shared" si="6"/>
        <v>2024-10-28</v>
      </c>
      <c r="Z144">
        <f t="shared" si="7"/>
        <v>12</v>
      </c>
      <c r="AA144" t="str">
        <f t="shared" si="8"/>
        <v>High (20%+)</v>
      </c>
    </row>
    <row r="145" spans="1:27">
      <c r="A145" t="s">
        <v>663</v>
      </c>
      <c r="B145" s="1" t="d">
        <v>2024-11-04</v>
      </c>
      <c r="C145" t="s">
        <v>664</v>
      </c>
      <c r="D145" t="s">
        <v>25</v>
      </c>
      <c r="E145" t="s">
        <v>665</v>
      </c>
      <c r="F145" t="s">
        <v>61</v>
      </c>
      <c r="G145" t="s">
        <v>666</v>
      </c>
      <c r="H145">
        <v>4299</v>
      </c>
      <c r="I145">
        <v>1</v>
      </c>
      <c r="J145">
        <v>4299</v>
      </c>
      <c r="K145" t="s">
        <v>537</v>
      </c>
      <c r="L145">
        <v>40</v>
      </c>
      <c r="M145" t="s">
        <v>43</v>
      </c>
      <c r="N145" t="s">
        <v>65</v>
      </c>
      <c r="O145" t="s">
        <v>31</v>
      </c>
      <c r="P145" t="s">
        <v>32</v>
      </c>
      <c r="Q145" t="s">
        <v>31</v>
      </c>
      <c r="R145" s="1" t="d">
        <v>2024-11-17</v>
      </c>
      <c r="S145" t="s">
        <v>33</v>
      </c>
      <c r="T145" t="s">
        <v>46</v>
      </c>
      <c r="U145" t="s">
        <v>68</v>
      </c>
      <c r="V145" s="1" t="d">
        <v>2024-12-16</v>
      </c>
      <c r="W145" t="s">
        <v>48</v>
      </c>
      <c r="Y145" s="1" t="d">
        <f t="shared" si="6"/>
        <v>2024-11-04</v>
      </c>
      <c r="Z145">
        <f t="shared" si="7"/>
        <v>13</v>
      </c>
      <c r="AA145" t="str">
        <f t="shared" si="8"/>
        <v>High (20%+)</v>
      </c>
    </row>
    <row r="146" spans="1:27">
      <c r="A146" t="s">
        <v>667</v>
      </c>
      <c r="B146" s="1" t="d">
        <v>2024-11-04</v>
      </c>
      <c r="C146" t="s">
        <v>668</v>
      </c>
      <c r="D146" t="s">
        <v>25</v>
      </c>
      <c r="E146" t="s">
        <v>669</v>
      </c>
      <c r="F146" t="s">
        <v>71</v>
      </c>
      <c r="G146" t="s">
        <v>670</v>
      </c>
      <c r="H146">
        <v>799</v>
      </c>
      <c r="I146">
        <v>1</v>
      </c>
      <c r="J146">
        <v>799</v>
      </c>
      <c r="K146" t="s">
        <v>537</v>
      </c>
      <c r="L146">
        <v>40</v>
      </c>
      <c r="M146" t="s">
        <v>29</v>
      </c>
      <c r="N146" t="s">
        <v>30</v>
      </c>
      <c r="O146" t="s">
        <v>45</v>
      </c>
      <c r="P146" t="s">
        <v>45</v>
      </c>
      <c r="Q146" t="s">
        <v>45</v>
      </c>
      <c r="R146" s="1" t="d">
        <v>2024-11-16</v>
      </c>
      <c r="S146" t="s">
        <v>33</v>
      </c>
      <c r="T146" t="s">
        <v>34</v>
      </c>
      <c r="W146" t="s">
        <v>35</v>
      </c>
      <c r="Y146" s="1" t="d">
        <f t="shared" si="6"/>
        <v>2024-11-04</v>
      </c>
      <c r="Z146">
        <f t="shared" si="7"/>
        <v>12</v>
      </c>
      <c r="AA146" t="str">
        <f t="shared" si="8"/>
        <v>High (20%+)</v>
      </c>
    </row>
    <row r="147" spans="1:27">
      <c r="A147" t="s">
        <v>671</v>
      </c>
      <c r="B147" s="1" t="d">
        <v>2024-11-04</v>
      </c>
      <c r="C147" t="s">
        <v>672</v>
      </c>
      <c r="D147" t="s">
        <v>25</v>
      </c>
      <c r="E147" t="s">
        <v>673</v>
      </c>
      <c r="F147" t="s">
        <v>27</v>
      </c>
      <c r="G147" t="s">
        <v>674</v>
      </c>
      <c r="H147">
        <v>1899</v>
      </c>
      <c r="I147">
        <v>1</v>
      </c>
      <c r="J147">
        <v>1899</v>
      </c>
      <c r="K147" t="s">
        <v>537</v>
      </c>
      <c r="L147">
        <v>40</v>
      </c>
      <c r="M147" t="s">
        <v>111</v>
      </c>
      <c r="N147" t="s">
        <v>44</v>
      </c>
      <c r="O147" t="s">
        <v>90</v>
      </c>
      <c r="P147" t="s">
        <v>91</v>
      </c>
      <c r="Q147" t="s">
        <v>45</v>
      </c>
      <c r="R147" s="1" t="d">
        <v>2024-11-17</v>
      </c>
      <c r="S147" t="s">
        <v>33</v>
      </c>
      <c r="T147" t="s">
        <v>46</v>
      </c>
      <c r="U147" t="s">
        <v>47</v>
      </c>
      <c r="V147" s="1" t="d">
        <v>2024-12-15</v>
      </c>
      <c r="W147" t="s">
        <v>48</v>
      </c>
      <c r="Y147" s="1" t="d">
        <f t="shared" si="6"/>
        <v>2024-11-04</v>
      </c>
      <c r="Z147">
        <f t="shared" si="7"/>
        <v>13</v>
      </c>
      <c r="AA147" t="str">
        <f t="shared" si="8"/>
        <v>High (20%+)</v>
      </c>
    </row>
    <row r="148" spans="1:27">
      <c r="A148" t="s">
        <v>675</v>
      </c>
      <c r="B148" s="1" t="d">
        <v>2024-11-05</v>
      </c>
      <c r="C148" t="s">
        <v>676</v>
      </c>
      <c r="D148" t="s">
        <v>25</v>
      </c>
      <c r="E148" t="s">
        <v>677</v>
      </c>
      <c r="F148" t="s">
        <v>40</v>
      </c>
      <c r="G148" t="s">
        <v>678</v>
      </c>
      <c r="H148">
        <v>4899</v>
      </c>
      <c r="I148">
        <v>1</v>
      </c>
      <c r="J148">
        <v>4899</v>
      </c>
      <c r="K148" t="s">
        <v>537</v>
      </c>
      <c r="L148">
        <v>40</v>
      </c>
      <c r="M148" t="s">
        <v>64</v>
      </c>
      <c r="N148" t="s">
        <v>65</v>
      </c>
      <c r="O148" t="s">
        <v>66</v>
      </c>
      <c r="P148" t="s">
        <v>67</v>
      </c>
      <c r="Q148" t="s">
        <v>56</v>
      </c>
      <c r="R148" s="1" t="d">
        <v>2024-11-18</v>
      </c>
      <c r="S148" t="s">
        <v>33</v>
      </c>
      <c r="T148" t="s">
        <v>46</v>
      </c>
      <c r="U148" t="s">
        <v>79</v>
      </c>
      <c r="V148" s="1" t="d">
        <v>2024-12-17</v>
      </c>
      <c r="W148" t="s">
        <v>48</v>
      </c>
      <c r="Y148" s="1" t="d">
        <f t="shared" si="6"/>
        <v>2024-11-04</v>
      </c>
      <c r="Z148">
        <f t="shared" si="7"/>
        <v>13</v>
      </c>
      <c r="AA148" t="str">
        <f t="shared" si="8"/>
        <v>High (20%+)</v>
      </c>
    </row>
    <row r="149" spans="1:27">
      <c r="A149" t="s">
        <v>679</v>
      </c>
      <c r="B149" s="1" t="d">
        <v>2024-11-05</v>
      </c>
      <c r="C149" t="s">
        <v>680</v>
      </c>
      <c r="D149" t="s">
        <v>38</v>
      </c>
      <c r="E149" t="s">
        <v>681</v>
      </c>
      <c r="F149" t="s">
        <v>53</v>
      </c>
      <c r="G149" t="s">
        <v>682</v>
      </c>
      <c r="H149">
        <v>1499</v>
      </c>
      <c r="I149">
        <v>1</v>
      </c>
      <c r="J149">
        <v>1499</v>
      </c>
      <c r="K149" t="s">
        <v>537</v>
      </c>
      <c r="L149">
        <v>40</v>
      </c>
      <c r="M149" t="s">
        <v>43</v>
      </c>
      <c r="N149" t="s">
        <v>30</v>
      </c>
      <c r="O149" t="s">
        <v>77</v>
      </c>
      <c r="P149" t="s">
        <v>78</v>
      </c>
      <c r="Q149" t="s">
        <v>56</v>
      </c>
      <c r="R149" s="1" t="d">
        <v>2024-11-17</v>
      </c>
      <c r="S149" t="s">
        <v>33</v>
      </c>
      <c r="T149" t="s">
        <v>34</v>
      </c>
      <c r="W149" t="s">
        <v>35</v>
      </c>
      <c r="Y149" s="1" t="d">
        <f t="shared" si="6"/>
        <v>2024-11-04</v>
      </c>
      <c r="Z149">
        <f t="shared" si="7"/>
        <v>12</v>
      </c>
      <c r="AA149" t="str">
        <f t="shared" si="8"/>
        <v>High (20%+)</v>
      </c>
    </row>
    <row r="150" spans="1:27">
      <c r="A150" t="s">
        <v>683</v>
      </c>
      <c r="B150" s="1" t="d">
        <v>2024-11-05</v>
      </c>
      <c r="C150" t="s">
        <v>684</v>
      </c>
      <c r="D150" t="s">
        <v>25</v>
      </c>
      <c r="E150" t="s">
        <v>685</v>
      </c>
      <c r="F150" t="s">
        <v>61</v>
      </c>
      <c r="G150" t="s">
        <v>686</v>
      </c>
      <c r="H150">
        <v>5699</v>
      </c>
      <c r="I150">
        <v>1</v>
      </c>
      <c r="J150">
        <v>5699</v>
      </c>
      <c r="K150" t="s">
        <v>537</v>
      </c>
      <c r="L150">
        <v>40</v>
      </c>
      <c r="M150" t="s">
        <v>29</v>
      </c>
      <c r="N150" t="s">
        <v>44</v>
      </c>
      <c r="O150" t="s">
        <v>84</v>
      </c>
      <c r="P150" t="s">
        <v>32</v>
      </c>
      <c r="Q150" t="s">
        <v>31</v>
      </c>
      <c r="R150" s="1" t="d">
        <v>2024-11-19</v>
      </c>
      <c r="S150" t="s">
        <v>33</v>
      </c>
      <c r="T150" t="s">
        <v>46</v>
      </c>
      <c r="U150" t="s">
        <v>47</v>
      </c>
      <c r="V150" s="1" t="d">
        <v>2024-12-18</v>
      </c>
      <c r="W150" t="s">
        <v>48</v>
      </c>
      <c r="Y150" s="1" t="d">
        <f t="shared" si="6"/>
        <v>2024-11-04</v>
      </c>
      <c r="Z150">
        <f t="shared" si="7"/>
        <v>14</v>
      </c>
      <c r="AA150" t="str">
        <f t="shared" si="8"/>
        <v>High (20%+)</v>
      </c>
    </row>
    <row r="151" spans="1:27">
      <c r="A151" t="s">
        <v>687</v>
      </c>
      <c r="B151" s="1" t="d">
        <v>2024-11-05</v>
      </c>
      <c r="C151" t="s">
        <v>688</v>
      </c>
      <c r="D151" t="s">
        <v>25</v>
      </c>
      <c r="E151" t="s">
        <v>689</v>
      </c>
      <c r="F151" t="s">
        <v>71</v>
      </c>
      <c r="G151" t="s">
        <v>690</v>
      </c>
      <c r="H151">
        <v>599</v>
      </c>
      <c r="I151">
        <v>4</v>
      </c>
      <c r="J151">
        <v>2396</v>
      </c>
      <c r="K151" t="s">
        <v>537</v>
      </c>
      <c r="L151">
        <v>40</v>
      </c>
      <c r="M151" t="s">
        <v>55</v>
      </c>
      <c r="N151" t="s">
        <v>65</v>
      </c>
      <c r="O151" t="s">
        <v>96</v>
      </c>
      <c r="P151" t="s">
        <v>97</v>
      </c>
      <c r="Q151" t="s">
        <v>31</v>
      </c>
      <c r="R151" s="1" t="d">
        <v>2024-11-18</v>
      </c>
      <c r="S151" t="s">
        <v>33</v>
      </c>
      <c r="T151" t="s">
        <v>46</v>
      </c>
      <c r="U151" t="s">
        <v>138</v>
      </c>
      <c r="V151" s="1" t="d">
        <v>2024-12-16</v>
      </c>
      <c r="W151" t="s">
        <v>48</v>
      </c>
      <c r="Y151" s="1" t="d">
        <f t="shared" si="6"/>
        <v>2024-11-04</v>
      </c>
      <c r="Z151">
        <f t="shared" si="7"/>
        <v>13</v>
      </c>
      <c r="AA151" t="str">
        <f t="shared" si="8"/>
        <v>High (20%+)</v>
      </c>
    </row>
    <row r="152" spans="1:27">
      <c r="A152" t="s">
        <v>691</v>
      </c>
      <c r="B152" s="1" t="d">
        <v>2024-11-06</v>
      </c>
      <c r="C152" t="s">
        <v>692</v>
      </c>
      <c r="D152" t="s">
        <v>25</v>
      </c>
      <c r="E152" t="s">
        <v>693</v>
      </c>
      <c r="F152" t="s">
        <v>27</v>
      </c>
      <c r="G152" t="s">
        <v>694</v>
      </c>
      <c r="H152">
        <v>2999</v>
      </c>
      <c r="I152">
        <v>1</v>
      </c>
      <c r="J152">
        <v>2999</v>
      </c>
      <c r="L152">
        <v>0</v>
      </c>
      <c r="M152" t="s">
        <v>43</v>
      </c>
      <c r="N152" t="s">
        <v>30</v>
      </c>
      <c r="O152" t="s">
        <v>102</v>
      </c>
      <c r="P152" t="s">
        <v>103</v>
      </c>
      <c r="Q152" t="s">
        <v>45</v>
      </c>
      <c r="R152" s="1" t="d">
        <v>2024-11-19</v>
      </c>
      <c r="S152" t="s">
        <v>33</v>
      </c>
      <c r="T152" t="s">
        <v>34</v>
      </c>
      <c r="W152" t="s">
        <v>35</v>
      </c>
      <c r="Y152" s="1" t="d">
        <f t="shared" si="6"/>
        <v>2024-11-04</v>
      </c>
      <c r="Z152">
        <f t="shared" si="7"/>
        <v>13</v>
      </c>
      <c r="AA152" t="str">
        <f t="shared" si="8"/>
        <v>No Discount</v>
      </c>
    </row>
    <row r="153" spans="1:27">
      <c r="A153" t="s">
        <v>695</v>
      </c>
      <c r="B153" s="1" t="d">
        <v>2024-11-06</v>
      </c>
      <c r="C153" t="s">
        <v>696</v>
      </c>
      <c r="D153" t="s">
        <v>25</v>
      </c>
      <c r="E153" t="s">
        <v>697</v>
      </c>
      <c r="F153" t="s">
        <v>40</v>
      </c>
      <c r="G153" t="s">
        <v>698</v>
      </c>
      <c r="H153">
        <v>2799</v>
      </c>
      <c r="I153">
        <v>1</v>
      </c>
      <c r="J153">
        <v>2799</v>
      </c>
      <c r="L153">
        <v>0</v>
      </c>
      <c r="M153" t="s">
        <v>29</v>
      </c>
      <c r="N153" t="s">
        <v>44</v>
      </c>
      <c r="O153" t="s">
        <v>112</v>
      </c>
      <c r="P153" t="s">
        <v>113</v>
      </c>
      <c r="Q153" t="s">
        <v>45</v>
      </c>
      <c r="R153" s="1" t="d">
        <v>2024-11-20</v>
      </c>
      <c r="S153" t="s">
        <v>33</v>
      </c>
      <c r="T153" t="s">
        <v>46</v>
      </c>
      <c r="U153" t="s">
        <v>68</v>
      </c>
      <c r="V153" s="1" t="d">
        <v>2024-12-18</v>
      </c>
      <c r="W153" t="s">
        <v>48</v>
      </c>
      <c r="Y153" s="1" t="d">
        <f t="shared" si="6"/>
        <v>2024-11-04</v>
      </c>
      <c r="Z153">
        <f t="shared" si="7"/>
        <v>14</v>
      </c>
      <c r="AA153" t="str">
        <f t="shared" si="8"/>
        <v>No Discount</v>
      </c>
    </row>
    <row r="154" spans="1:27">
      <c r="A154" t="s">
        <v>699</v>
      </c>
      <c r="B154" s="1" t="d">
        <v>2024-11-06</v>
      </c>
      <c r="C154" t="s">
        <v>700</v>
      </c>
      <c r="D154" t="s">
        <v>38</v>
      </c>
      <c r="E154" t="s">
        <v>701</v>
      </c>
      <c r="F154" t="s">
        <v>53</v>
      </c>
      <c r="G154" t="s">
        <v>702</v>
      </c>
      <c r="H154">
        <v>1699</v>
      </c>
      <c r="I154">
        <v>1</v>
      </c>
      <c r="J154">
        <v>1699</v>
      </c>
      <c r="K154" s="2" t="d">
        <v>2015-11-01</v>
      </c>
      <c r="L154">
        <v>15</v>
      </c>
      <c r="M154" t="s">
        <v>64</v>
      </c>
      <c r="N154" t="s">
        <v>65</v>
      </c>
      <c r="O154" t="s">
        <v>56</v>
      </c>
      <c r="P154" t="s">
        <v>57</v>
      </c>
      <c r="Q154" t="s">
        <v>56</v>
      </c>
      <c r="R154" s="1" t="d">
        <v>2024-11-18</v>
      </c>
      <c r="S154" t="s">
        <v>33</v>
      </c>
      <c r="T154" t="s">
        <v>34</v>
      </c>
      <c r="W154" t="s">
        <v>35</v>
      </c>
      <c r="Y154" s="1" t="d">
        <f t="shared" si="6"/>
        <v>2024-11-04</v>
      </c>
      <c r="Z154">
        <f t="shared" si="7"/>
        <v>12</v>
      </c>
      <c r="AA154" t="str">
        <f t="shared" si="8"/>
        <v>Low (1-20%)</v>
      </c>
    </row>
    <row r="155" spans="1:27">
      <c r="A155" t="s">
        <v>703</v>
      </c>
      <c r="B155" s="1" t="d">
        <v>2024-11-07</v>
      </c>
      <c r="C155" t="s">
        <v>704</v>
      </c>
      <c r="D155" t="s">
        <v>25</v>
      </c>
      <c r="E155" t="s">
        <v>705</v>
      </c>
      <c r="F155" t="s">
        <v>61</v>
      </c>
      <c r="G155" t="s">
        <v>706</v>
      </c>
      <c r="H155">
        <v>4599</v>
      </c>
      <c r="I155">
        <v>1</v>
      </c>
      <c r="J155">
        <v>4599</v>
      </c>
      <c r="L155">
        <v>0</v>
      </c>
      <c r="M155" t="s">
        <v>43</v>
      </c>
      <c r="N155" t="s">
        <v>30</v>
      </c>
      <c r="O155" t="s">
        <v>31</v>
      </c>
      <c r="P155" t="s">
        <v>32</v>
      </c>
      <c r="Q155" t="s">
        <v>31</v>
      </c>
      <c r="R155" s="1" t="d">
        <v>2024-11-21</v>
      </c>
      <c r="S155" t="s">
        <v>33</v>
      </c>
      <c r="T155" t="s">
        <v>46</v>
      </c>
      <c r="U155" t="s">
        <v>47</v>
      </c>
      <c r="V155" s="1" t="d">
        <v>2024-12-20</v>
      </c>
      <c r="W155" t="s">
        <v>48</v>
      </c>
      <c r="Y155" s="1" t="d">
        <f t="shared" si="6"/>
        <v>2024-11-04</v>
      </c>
      <c r="Z155">
        <f t="shared" si="7"/>
        <v>14</v>
      </c>
      <c r="AA155" t="str">
        <f t="shared" si="8"/>
        <v>No Discount</v>
      </c>
    </row>
    <row r="156" spans="1:27">
      <c r="A156" t="s">
        <v>707</v>
      </c>
      <c r="B156" s="1" t="d">
        <v>2024-11-07</v>
      </c>
      <c r="C156" t="s">
        <v>708</v>
      </c>
      <c r="D156" t="s">
        <v>25</v>
      </c>
      <c r="E156" t="s">
        <v>709</v>
      </c>
      <c r="F156" t="s">
        <v>71</v>
      </c>
      <c r="G156" t="s">
        <v>710</v>
      </c>
      <c r="H156">
        <v>899</v>
      </c>
      <c r="I156">
        <v>1</v>
      </c>
      <c r="J156">
        <v>899</v>
      </c>
      <c r="L156">
        <v>0</v>
      </c>
      <c r="M156" t="s">
        <v>55</v>
      </c>
      <c r="N156" t="s">
        <v>44</v>
      </c>
      <c r="O156" t="s">
        <v>45</v>
      </c>
      <c r="P156" t="s">
        <v>45</v>
      </c>
      <c r="Q156" t="s">
        <v>45</v>
      </c>
      <c r="R156" s="1" t="d">
        <v>2024-11-19</v>
      </c>
      <c r="S156" t="s">
        <v>33</v>
      </c>
      <c r="T156" t="s">
        <v>34</v>
      </c>
      <c r="W156" t="s">
        <v>35</v>
      </c>
      <c r="Y156" s="1" t="d">
        <f t="shared" si="6"/>
        <v>2024-11-04</v>
      </c>
      <c r="Z156">
        <f t="shared" si="7"/>
        <v>12</v>
      </c>
      <c r="AA156" t="str">
        <f t="shared" si="8"/>
        <v>No Discount</v>
      </c>
    </row>
    <row r="157" spans="1:27">
      <c r="A157" t="s">
        <v>711</v>
      </c>
      <c r="B157" s="1" t="d">
        <v>2024-11-07</v>
      </c>
      <c r="C157" t="s">
        <v>712</v>
      </c>
      <c r="D157" t="s">
        <v>25</v>
      </c>
      <c r="E157" t="s">
        <v>713</v>
      </c>
      <c r="F157" t="s">
        <v>27</v>
      </c>
      <c r="G157" t="s">
        <v>714</v>
      </c>
      <c r="H157">
        <v>1799</v>
      </c>
      <c r="I157">
        <v>1</v>
      </c>
      <c r="J157">
        <v>1799</v>
      </c>
      <c r="K157" s="2" t="d">
        <v>2015-11-01</v>
      </c>
      <c r="L157">
        <v>15</v>
      </c>
      <c r="M157" t="s">
        <v>29</v>
      </c>
      <c r="N157" t="s">
        <v>65</v>
      </c>
      <c r="O157" t="s">
        <v>118</v>
      </c>
      <c r="P157" t="s">
        <v>119</v>
      </c>
      <c r="Q157" t="s">
        <v>45</v>
      </c>
      <c r="R157" s="1" t="d">
        <v>2024-11-20</v>
      </c>
      <c r="S157" t="s">
        <v>33</v>
      </c>
      <c r="T157" t="s">
        <v>46</v>
      </c>
      <c r="U157" t="s">
        <v>104</v>
      </c>
      <c r="V157" s="1" t="d">
        <v>2024-12-19</v>
      </c>
      <c r="W157" t="s">
        <v>48</v>
      </c>
      <c r="Y157" s="1" t="d">
        <f t="shared" si="6"/>
        <v>2024-11-04</v>
      </c>
      <c r="Z157">
        <f t="shared" si="7"/>
        <v>13</v>
      </c>
      <c r="AA157" t="str">
        <f t="shared" si="8"/>
        <v>Low (1-20%)</v>
      </c>
    </row>
    <row r="158" spans="1:27">
      <c r="A158" t="s">
        <v>715</v>
      </c>
      <c r="B158" s="1" t="d">
        <v>2024-11-08</v>
      </c>
      <c r="C158" t="s">
        <v>716</v>
      </c>
      <c r="D158" t="s">
        <v>25</v>
      </c>
      <c r="E158" t="s">
        <v>717</v>
      </c>
      <c r="F158" t="s">
        <v>40</v>
      </c>
      <c r="G158" t="s">
        <v>718</v>
      </c>
      <c r="H158">
        <v>2599</v>
      </c>
      <c r="I158">
        <v>1</v>
      </c>
      <c r="J158">
        <v>2599</v>
      </c>
      <c r="L158">
        <v>0</v>
      </c>
      <c r="M158" t="s">
        <v>111</v>
      </c>
      <c r="N158" t="s">
        <v>30</v>
      </c>
      <c r="O158" t="s">
        <v>137</v>
      </c>
      <c r="P158" t="s">
        <v>113</v>
      </c>
      <c r="Q158" t="s">
        <v>45</v>
      </c>
      <c r="R158" s="1" t="d">
        <v>2024-11-22</v>
      </c>
      <c r="S158" t="s">
        <v>33</v>
      </c>
      <c r="T158" t="s">
        <v>34</v>
      </c>
      <c r="W158" t="s">
        <v>35</v>
      </c>
      <c r="Y158" s="1" t="d">
        <f t="shared" si="6"/>
        <v>2024-11-04</v>
      </c>
      <c r="Z158">
        <f t="shared" si="7"/>
        <v>14</v>
      </c>
      <c r="AA158" t="str">
        <f t="shared" si="8"/>
        <v>No Discount</v>
      </c>
    </row>
    <row r="159" spans="1:27">
      <c r="A159" t="s">
        <v>719</v>
      </c>
      <c r="B159" s="1" t="d">
        <v>2024-11-08</v>
      </c>
      <c r="C159" t="s">
        <v>720</v>
      </c>
      <c r="D159" t="s">
        <v>38</v>
      </c>
      <c r="E159" t="s">
        <v>721</v>
      </c>
      <c r="F159" t="s">
        <v>53</v>
      </c>
      <c r="G159" t="s">
        <v>722</v>
      </c>
      <c r="H159">
        <v>1599</v>
      </c>
      <c r="I159">
        <v>1</v>
      </c>
      <c r="J159">
        <v>1599</v>
      </c>
      <c r="L159">
        <v>0</v>
      </c>
      <c r="M159" t="s">
        <v>43</v>
      </c>
      <c r="N159" t="s">
        <v>44</v>
      </c>
      <c r="O159" t="s">
        <v>143</v>
      </c>
      <c r="P159" t="s">
        <v>144</v>
      </c>
      <c r="Q159" t="s">
        <v>45</v>
      </c>
      <c r="R159" s="1" t="d">
        <v>2024-11-20</v>
      </c>
      <c r="S159" t="s">
        <v>33</v>
      </c>
      <c r="T159" t="s">
        <v>46</v>
      </c>
      <c r="U159" t="s">
        <v>79</v>
      </c>
      <c r="V159" s="1" t="d">
        <v>2024-12-18</v>
      </c>
      <c r="W159" t="s">
        <v>48</v>
      </c>
      <c r="Y159" s="1" t="d">
        <f t="shared" si="6"/>
        <v>2024-11-04</v>
      </c>
      <c r="Z159">
        <f t="shared" si="7"/>
        <v>12</v>
      </c>
      <c r="AA159" t="str">
        <f t="shared" si="8"/>
        <v>No Discount</v>
      </c>
    </row>
    <row r="160" spans="1:27">
      <c r="A160" t="s">
        <v>723</v>
      </c>
      <c r="B160" s="1" t="d">
        <v>2024-11-08</v>
      </c>
      <c r="C160" t="s">
        <v>724</v>
      </c>
      <c r="D160" t="s">
        <v>25</v>
      </c>
      <c r="E160" t="s">
        <v>725</v>
      </c>
      <c r="F160" t="s">
        <v>61</v>
      </c>
      <c r="G160" t="s">
        <v>726</v>
      </c>
      <c r="H160">
        <v>5299</v>
      </c>
      <c r="I160">
        <v>1</v>
      </c>
      <c r="J160">
        <v>5299</v>
      </c>
      <c r="K160" s="2" t="d">
        <v>2015-11-01</v>
      </c>
      <c r="L160">
        <v>15</v>
      </c>
      <c r="M160" t="s">
        <v>64</v>
      </c>
      <c r="N160" t="s">
        <v>65</v>
      </c>
      <c r="O160" t="s">
        <v>150</v>
      </c>
      <c r="P160" t="s">
        <v>151</v>
      </c>
      <c r="Q160" t="s">
        <v>31</v>
      </c>
      <c r="R160" s="1" t="d">
        <v>2024-11-23</v>
      </c>
      <c r="S160" t="s">
        <v>33</v>
      </c>
      <c r="T160" t="s">
        <v>34</v>
      </c>
      <c r="W160" t="s">
        <v>35</v>
      </c>
      <c r="Y160" s="1" t="d">
        <f t="shared" si="6"/>
        <v>2024-11-04</v>
      </c>
      <c r="Z160">
        <f t="shared" si="7"/>
        <v>15</v>
      </c>
      <c r="AA160" t="str">
        <f t="shared" si="8"/>
        <v>Low (1-20%)</v>
      </c>
    </row>
    <row r="161" spans="1:27">
      <c r="A161" t="s">
        <v>727</v>
      </c>
      <c r="B161" s="1" t="d">
        <v>2024-11-09</v>
      </c>
      <c r="C161" t="s">
        <v>728</v>
      </c>
      <c r="D161" t="s">
        <v>25</v>
      </c>
      <c r="E161" t="s">
        <v>729</v>
      </c>
      <c r="F161" t="s">
        <v>71</v>
      </c>
      <c r="G161" t="s">
        <v>730</v>
      </c>
      <c r="H161">
        <v>499</v>
      </c>
      <c r="I161">
        <v>3</v>
      </c>
      <c r="J161">
        <v>1497</v>
      </c>
      <c r="L161">
        <v>0</v>
      </c>
      <c r="M161" t="s">
        <v>29</v>
      </c>
      <c r="N161" t="s">
        <v>30</v>
      </c>
      <c r="O161" t="s">
        <v>156</v>
      </c>
      <c r="P161" t="s">
        <v>97</v>
      </c>
      <c r="Q161" t="s">
        <v>31</v>
      </c>
      <c r="R161" s="1" t="d">
        <v>2024-11-21</v>
      </c>
      <c r="S161" t="s">
        <v>33</v>
      </c>
      <c r="T161" t="s">
        <v>46</v>
      </c>
      <c r="U161" t="s">
        <v>138</v>
      </c>
      <c r="V161" s="1" t="d">
        <v>2024-12-19</v>
      </c>
      <c r="W161" t="s">
        <v>48</v>
      </c>
      <c r="Y161" s="1" t="d">
        <f t="shared" si="6"/>
        <v>2024-11-04</v>
      </c>
      <c r="Z161">
        <f t="shared" si="7"/>
        <v>12</v>
      </c>
      <c r="AA161" t="str">
        <f t="shared" si="8"/>
        <v>No Discount</v>
      </c>
    </row>
    <row r="162" spans="1:27">
      <c r="A162" t="s">
        <v>731</v>
      </c>
      <c r="B162" s="1" t="d">
        <v>2024-11-09</v>
      </c>
      <c r="C162" t="s">
        <v>732</v>
      </c>
      <c r="D162" t="s">
        <v>25</v>
      </c>
      <c r="E162" t="s">
        <v>733</v>
      </c>
      <c r="F162" t="s">
        <v>27</v>
      </c>
      <c r="G162" t="s">
        <v>734</v>
      </c>
      <c r="H162">
        <v>2099</v>
      </c>
      <c r="I162">
        <v>1</v>
      </c>
      <c r="J162">
        <v>2099</v>
      </c>
      <c r="L162">
        <v>0</v>
      </c>
      <c r="M162" t="s">
        <v>55</v>
      </c>
      <c r="N162" t="s">
        <v>44</v>
      </c>
      <c r="O162" t="s">
        <v>161</v>
      </c>
      <c r="P162" t="s">
        <v>162</v>
      </c>
      <c r="Q162" t="s">
        <v>45</v>
      </c>
      <c r="S162" t="s">
        <v>120</v>
      </c>
      <c r="T162" t="s">
        <v>34</v>
      </c>
      <c r="W162" t="s">
        <v>35</v>
      </c>
      <c r="Y162" s="1" t="d">
        <f t="shared" si="6"/>
        <v>2024-11-04</v>
      </c>
      <c r="Z162" t="str">
        <f t="shared" si="7"/>
        <v/>
      </c>
      <c r="AA162" t="str">
        <f t="shared" si="8"/>
        <v>No Discount</v>
      </c>
    </row>
    <row r="163" spans="1:27">
      <c r="A163" t="s">
        <v>735</v>
      </c>
      <c r="B163" s="1" t="d">
        <v>2024-11-09</v>
      </c>
      <c r="C163" t="s">
        <v>736</v>
      </c>
      <c r="D163" t="s">
        <v>25</v>
      </c>
      <c r="E163" t="s">
        <v>737</v>
      </c>
      <c r="F163" t="s">
        <v>40</v>
      </c>
      <c r="G163" t="s">
        <v>738</v>
      </c>
      <c r="H163">
        <v>2399</v>
      </c>
      <c r="I163">
        <v>1</v>
      </c>
      <c r="J163">
        <v>2399</v>
      </c>
      <c r="K163" s="2" t="d">
        <v>2015-11-01</v>
      </c>
      <c r="L163">
        <v>15</v>
      </c>
      <c r="M163" t="s">
        <v>43</v>
      </c>
      <c r="N163" t="s">
        <v>65</v>
      </c>
      <c r="O163" t="s">
        <v>167</v>
      </c>
      <c r="P163" t="s">
        <v>151</v>
      </c>
      <c r="Q163" t="s">
        <v>31</v>
      </c>
      <c r="R163" s="1" t="d">
        <v>2024-11-24</v>
      </c>
      <c r="S163" t="s">
        <v>33</v>
      </c>
      <c r="T163" t="s">
        <v>46</v>
      </c>
      <c r="U163" t="s">
        <v>47</v>
      </c>
      <c r="V163" s="1" t="d">
        <v>2024-12-22</v>
      </c>
      <c r="W163" t="s">
        <v>48</v>
      </c>
      <c r="Y163" s="1" t="d">
        <f t="shared" si="6"/>
        <v>2024-11-04</v>
      </c>
      <c r="Z163">
        <f t="shared" si="7"/>
        <v>15</v>
      </c>
      <c r="AA163" t="str">
        <f t="shared" si="8"/>
        <v>Low (1-20%)</v>
      </c>
    </row>
    <row r="164" spans="1:27">
      <c r="A164" t="s">
        <v>739</v>
      </c>
      <c r="B164" s="1" t="d">
        <v>2024-11-10</v>
      </c>
      <c r="C164" t="s">
        <v>740</v>
      </c>
      <c r="D164" t="s">
        <v>38</v>
      </c>
      <c r="E164" t="s">
        <v>741</v>
      </c>
      <c r="F164" t="s">
        <v>53</v>
      </c>
      <c r="G164" t="s">
        <v>742</v>
      </c>
      <c r="H164">
        <v>1799</v>
      </c>
      <c r="I164">
        <v>1</v>
      </c>
      <c r="J164">
        <v>1799</v>
      </c>
      <c r="L164">
        <v>0</v>
      </c>
      <c r="M164" t="s">
        <v>111</v>
      </c>
      <c r="N164" t="s">
        <v>30</v>
      </c>
      <c r="O164" t="s">
        <v>172</v>
      </c>
      <c r="P164" t="s">
        <v>32</v>
      </c>
      <c r="Q164" t="s">
        <v>31</v>
      </c>
      <c r="R164" s="1" t="d">
        <v>2024-11-22</v>
      </c>
      <c r="S164" t="s">
        <v>33</v>
      </c>
      <c r="T164" t="s">
        <v>34</v>
      </c>
      <c r="W164" t="s">
        <v>35</v>
      </c>
      <c r="Y164" s="1" t="d">
        <f t="shared" si="6"/>
        <v>2024-11-04</v>
      </c>
      <c r="Z164">
        <f t="shared" si="7"/>
        <v>12</v>
      </c>
      <c r="AA164" t="str">
        <f t="shared" si="8"/>
        <v>No Discount</v>
      </c>
    </row>
    <row r="165" spans="1:27">
      <c r="A165" t="s">
        <v>743</v>
      </c>
      <c r="B165" s="1" t="d">
        <v>2024-10-10</v>
      </c>
      <c r="C165" t="s">
        <v>744</v>
      </c>
      <c r="D165" t="s">
        <v>25</v>
      </c>
      <c r="E165" t="s">
        <v>745</v>
      </c>
      <c r="F165" t="s">
        <v>61</v>
      </c>
      <c r="G165" t="s">
        <v>746</v>
      </c>
      <c r="H165">
        <v>4199</v>
      </c>
      <c r="I165">
        <v>1</v>
      </c>
      <c r="J165">
        <v>4199</v>
      </c>
      <c r="L165">
        <v>0</v>
      </c>
      <c r="M165" t="s">
        <v>29</v>
      </c>
      <c r="N165" t="s">
        <v>44</v>
      </c>
      <c r="O165" t="s">
        <v>177</v>
      </c>
      <c r="P165" t="s">
        <v>67</v>
      </c>
      <c r="Q165" t="s">
        <v>56</v>
      </c>
      <c r="R165" s="1" t="d">
        <v>2024-11-25</v>
      </c>
      <c r="S165" t="s">
        <v>33</v>
      </c>
      <c r="T165" t="s">
        <v>46</v>
      </c>
      <c r="U165" t="s">
        <v>68</v>
      </c>
      <c r="V165" s="1" t="d">
        <v>2024-12-24</v>
      </c>
      <c r="W165" t="s">
        <v>48</v>
      </c>
      <c r="Y165" s="1" t="d">
        <f t="shared" si="6"/>
        <v>2024-10-07</v>
      </c>
      <c r="Z165">
        <f t="shared" si="7"/>
        <v>46</v>
      </c>
      <c r="AA165" t="str">
        <f t="shared" si="8"/>
        <v>No Discount</v>
      </c>
    </row>
    <row r="166" spans="1:27">
      <c r="A166" t="s">
        <v>747</v>
      </c>
      <c r="B166" s="1" t="d">
        <v>2024-11-10</v>
      </c>
      <c r="C166" t="s">
        <v>748</v>
      </c>
      <c r="D166" t="s">
        <v>25</v>
      </c>
      <c r="E166" t="s">
        <v>749</v>
      </c>
      <c r="F166" t="s">
        <v>71</v>
      </c>
      <c r="G166" t="s">
        <v>750</v>
      </c>
      <c r="H166">
        <v>699</v>
      </c>
      <c r="I166">
        <v>2</v>
      </c>
      <c r="J166">
        <v>1398</v>
      </c>
      <c r="L166">
        <v>0</v>
      </c>
      <c r="M166" t="s">
        <v>64</v>
      </c>
      <c r="N166" t="s">
        <v>65</v>
      </c>
      <c r="O166" t="s">
        <v>182</v>
      </c>
      <c r="P166" t="s">
        <v>183</v>
      </c>
      <c r="Q166" t="s">
        <v>56</v>
      </c>
      <c r="R166" s="1" t="d">
        <v>2024-11-23</v>
      </c>
      <c r="S166" t="s">
        <v>33</v>
      </c>
      <c r="T166" t="s">
        <v>34</v>
      </c>
      <c r="W166" t="s">
        <v>35</v>
      </c>
      <c r="Y166" s="1" t="d">
        <f t="shared" si="6"/>
        <v>2024-11-04</v>
      </c>
      <c r="Z166">
        <f t="shared" si="7"/>
        <v>13</v>
      </c>
      <c r="AA166" t="str">
        <f t="shared" si="8"/>
        <v>No Discount</v>
      </c>
    </row>
    <row r="167" spans="1:27">
      <c r="A167" t="s">
        <v>751</v>
      </c>
      <c r="B167" s="1" t="d">
        <v>2024-11-11</v>
      </c>
      <c r="C167" t="s">
        <v>752</v>
      </c>
      <c r="D167" t="s">
        <v>25</v>
      </c>
      <c r="E167" t="s">
        <v>499</v>
      </c>
      <c r="F167" t="s">
        <v>27</v>
      </c>
      <c r="G167" t="s">
        <v>753</v>
      </c>
      <c r="H167">
        <v>1599</v>
      </c>
      <c r="I167">
        <v>1</v>
      </c>
      <c r="J167">
        <v>1599</v>
      </c>
      <c r="K167" s="2" t="d">
        <v>2015-11-01</v>
      </c>
      <c r="L167">
        <v>15</v>
      </c>
      <c r="M167" t="s">
        <v>43</v>
      </c>
      <c r="N167" t="s">
        <v>30</v>
      </c>
      <c r="O167" t="s">
        <v>188</v>
      </c>
      <c r="P167" t="s">
        <v>189</v>
      </c>
      <c r="Q167" t="s">
        <v>56</v>
      </c>
      <c r="R167" s="1" t="d">
        <v>2024-11-24</v>
      </c>
      <c r="S167" t="s">
        <v>33</v>
      </c>
      <c r="T167" t="s">
        <v>46</v>
      </c>
      <c r="U167" t="s">
        <v>47</v>
      </c>
      <c r="V167" s="1" t="d">
        <v>2024-12-23</v>
      </c>
      <c r="W167" t="s">
        <v>48</v>
      </c>
      <c r="Y167" s="1" t="d">
        <f t="shared" si="6"/>
        <v>2024-11-11</v>
      </c>
      <c r="Z167">
        <f t="shared" si="7"/>
        <v>13</v>
      </c>
      <c r="AA167" t="str">
        <f t="shared" si="8"/>
        <v>Low (1-20%)</v>
      </c>
    </row>
    <row r="168" spans="1:27">
      <c r="A168" t="s">
        <v>754</v>
      </c>
      <c r="B168" s="1" t="d">
        <v>2024-11-11</v>
      </c>
      <c r="C168" t="s">
        <v>755</v>
      </c>
      <c r="D168" t="s">
        <v>25</v>
      </c>
      <c r="E168" t="s">
        <v>756</v>
      </c>
      <c r="F168" t="s">
        <v>40</v>
      </c>
      <c r="G168" t="s">
        <v>757</v>
      </c>
      <c r="H168">
        <v>2899</v>
      </c>
      <c r="I168">
        <v>1</v>
      </c>
      <c r="J168">
        <v>2899</v>
      </c>
      <c r="L168">
        <v>0</v>
      </c>
      <c r="M168" t="s">
        <v>55</v>
      </c>
      <c r="N168" t="s">
        <v>44</v>
      </c>
      <c r="O168" t="s">
        <v>194</v>
      </c>
      <c r="P168" t="s">
        <v>183</v>
      </c>
      <c r="Q168" t="s">
        <v>56</v>
      </c>
      <c r="R168" s="1" t="d">
        <v>2024-11-26</v>
      </c>
      <c r="S168" t="s">
        <v>33</v>
      </c>
      <c r="T168" t="s">
        <v>46</v>
      </c>
      <c r="U168" t="s">
        <v>104</v>
      </c>
      <c r="V168" s="1" t="d">
        <v>2024-12-25</v>
      </c>
      <c r="W168" t="s">
        <v>48</v>
      </c>
      <c r="Y168" s="1" t="d">
        <f t="shared" si="6"/>
        <v>2024-11-11</v>
      </c>
      <c r="Z168">
        <f t="shared" si="7"/>
        <v>15</v>
      </c>
      <c r="AA168" t="str">
        <f t="shared" si="8"/>
        <v>No Discount</v>
      </c>
    </row>
    <row r="169" spans="1:27">
      <c r="A169" t="s">
        <v>758</v>
      </c>
      <c r="B169" s="1" t="d">
        <v>2024-11-11</v>
      </c>
      <c r="C169" t="s">
        <v>759</v>
      </c>
      <c r="D169" t="s">
        <v>38</v>
      </c>
      <c r="E169" t="s">
        <v>760</v>
      </c>
      <c r="F169" t="s">
        <v>53</v>
      </c>
      <c r="G169" t="s">
        <v>761</v>
      </c>
      <c r="H169">
        <v>2199</v>
      </c>
      <c r="I169">
        <v>1</v>
      </c>
      <c r="J169">
        <v>2199</v>
      </c>
      <c r="L169">
        <v>0</v>
      </c>
      <c r="M169" t="s">
        <v>29</v>
      </c>
      <c r="N169" t="s">
        <v>65</v>
      </c>
      <c r="O169" t="s">
        <v>199</v>
      </c>
      <c r="P169" t="s">
        <v>57</v>
      </c>
      <c r="Q169" t="s">
        <v>56</v>
      </c>
      <c r="R169" s="1" t="d">
        <v>2024-11-24</v>
      </c>
      <c r="S169" t="s">
        <v>33</v>
      </c>
      <c r="T169" t="s">
        <v>34</v>
      </c>
      <c r="W169" t="s">
        <v>35</v>
      </c>
      <c r="Y169" s="1" t="d">
        <f t="shared" si="6"/>
        <v>2024-11-11</v>
      </c>
      <c r="Z169">
        <f t="shared" si="7"/>
        <v>13</v>
      </c>
      <c r="AA169" t="str">
        <f t="shared" si="8"/>
        <v>No Discount</v>
      </c>
    </row>
    <row r="170" spans="1:27">
      <c r="A170" t="s">
        <v>762</v>
      </c>
      <c r="B170" s="1" t="d">
        <v>2024-11-12</v>
      </c>
      <c r="C170" t="s">
        <v>763</v>
      </c>
      <c r="D170" t="s">
        <v>25</v>
      </c>
      <c r="E170" t="s">
        <v>764</v>
      </c>
      <c r="F170" t="s">
        <v>61</v>
      </c>
      <c r="G170" t="s">
        <v>765</v>
      </c>
      <c r="H170">
        <v>5599</v>
      </c>
      <c r="I170">
        <v>1</v>
      </c>
      <c r="J170">
        <v>5599</v>
      </c>
      <c r="L170">
        <v>0</v>
      </c>
      <c r="M170" t="s">
        <v>43</v>
      </c>
      <c r="N170" t="s">
        <v>30</v>
      </c>
      <c r="O170" t="s">
        <v>204</v>
      </c>
      <c r="P170" t="s">
        <v>97</v>
      </c>
      <c r="Q170" t="s">
        <v>31</v>
      </c>
      <c r="R170" s="1" t="d">
        <v>2024-11-27</v>
      </c>
      <c r="S170" t="s">
        <v>33</v>
      </c>
      <c r="T170" t="s">
        <v>46</v>
      </c>
      <c r="U170" t="s">
        <v>79</v>
      </c>
      <c r="V170" s="1" t="d">
        <v>2024-12-26</v>
      </c>
      <c r="W170" t="s">
        <v>48</v>
      </c>
      <c r="Y170" s="1" t="d">
        <f t="shared" si="6"/>
        <v>2024-11-11</v>
      </c>
      <c r="Z170">
        <f t="shared" si="7"/>
        <v>15</v>
      </c>
      <c r="AA170" t="str">
        <f t="shared" si="8"/>
        <v>No Discount</v>
      </c>
    </row>
    <row r="171" spans="1:27">
      <c r="A171" t="s">
        <v>766</v>
      </c>
      <c r="B171" s="1" t="d">
        <v>2024-11-12</v>
      </c>
      <c r="C171" t="s">
        <v>767</v>
      </c>
      <c r="D171" t="s">
        <v>25</v>
      </c>
      <c r="E171" t="s">
        <v>768</v>
      </c>
      <c r="F171" t="s">
        <v>71</v>
      </c>
      <c r="G171" t="s">
        <v>769</v>
      </c>
      <c r="H171">
        <v>399</v>
      </c>
      <c r="I171">
        <v>2</v>
      </c>
      <c r="J171">
        <v>798</v>
      </c>
      <c r="K171" s="2" t="d">
        <v>2015-11-01</v>
      </c>
      <c r="L171">
        <v>15</v>
      </c>
      <c r="M171" t="s">
        <v>111</v>
      </c>
      <c r="N171" t="s">
        <v>44</v>
      </c>
      <c r="O171" t="s">
        <v>209</v>
      </c>
      <c r="P171" t="s">
        <v>97</v>
      </c>
      <c r="Q171" t="s">
        <v>31</v>
      </c>
      <c r="R171" s="1" t="d">
        <v>2024-11-25</v>
      </c>
      <c r="S171" t="s">
        <v>33</v>
      </c>
      <c r="T171" t="s">
        <v>34</v>
      </c>
      <c r="W171" t="s">
        <v>35</v>
      </c>
      <c r="Y171" s="1" t="d">
        <f t="shared" si="6"/>
        <v>2024-11-11</v>
      </c>
      <c r="Z171">
        <f t="shared" si="7"/>
        <v>13</v>
      </c>
      <c r="AA171" t="str">
        <f t="shared" si="8"/>
        <v>Low (1-20%)</v>
      </c>
    </row>
    <row r="172" spans="1:27">
      <c r="A172" t="s">
        <v>770</v>
      </c>
      <c r="B172" s="1" t="d">
        <v>2024-11-12</v>
      </c>
      <c r="C172" t="s">
        <v>771</v>
      </c>
      <c r="D172" t="s">
        <v>25</v>
      </c>
      <c r="E172" t="s">
        <v>772</v>
      </c>
      <c r="F172" t="s">
        <v>27</v>
      </c>
      <c r="G172" t="s">
        <v>773</v>
      </c>
      <c r="H172">
        <v>1899</v>
      </c>
      <c r="I172">
        <v>1</v>
      </c>
      <c r="J172">
        <v>1899</v>
      </c>
      <c r="L172">
        <v>0</v>
      </c>
      <c r="M172" t="s">
        <v>64</v>
      </c>
      <c r="N172" t="s">
        <v>65</v>
      </c>
      <c r="O172" t="s">
        <v>214</v>
      </c>
      <c r="P172" t="s">
        <v>113</v>
      </c>
      <c r="Q172" t="s">
        <v>45</v>
      </c>
      <c r="R172" s="1" t="d">
        <v>2024-11-26</v>
      </c>
      <c r="S172" t="s">
        <v>33</v>
      </c>
      <c r="T172" t="s">
        <v>46</v>
      </c>
      <c r="U172" t="s">
        <v>68</v>
      </c>
      <c r="V172" s="1" t="d">
        <v>2024-12-24</v>
      </c>
      <c r="W172" t="s">
        <v>48</v>
      </c>
      <c r="Y172" s="1" t="d">
        <f t="shared" si="6"/>
        <v>2024-11-11</v>
      </c>
      <c r="Z172">
        <f t="shared" si="7"/>
        <v>14</v>
      </c>
      <c r="AA172" t="str">
        <f t="shared" si="8"/>
        <v>No Discount</v>
      </c>
    </row>
    <row r="173" spans="1:27">
      <c r="A173" t="s">
        <v>774</v>
      </c>
      <c r="B173" s="1" t="d">
        <v>2024-11-13</v>
      </c>
      <c r="C173" t="s">
        <v>775</v>
      </c>
      <c r="D173" t="s">
        <v>25</v>
      </c>
      <c r="E173" t="s">
        <v>776</v>
      </c>
      <c r="F173" t="s">
        <v>40</v>
      </c>
      <c r="G173" t="s">
        <v>777</v>
      </c>
      <c r="H173">
        <v>2699</v>
      </c>
      <c r="I173">
        <v>1</v>
      </c>
      <c r="J173">
        <v>2699</v>
      </c>
      <c r="L173">
        <v>0</v>
      </c>
      <c r="M173" t="s">
        <v>29</v>
      </c>
      <c r="N173" t="s">
        <v>30</v>
      </c>
      <c r="O173" t="s">
        <v>31</v>
      </c>
      <c r="P173" t="s">
        <v>32</v>
      </c>
      <c r="Q173" t="s">
        <v>31</v>
      </c>
      <c r="R173" s="1" t="d">
        <v>2024-11-28</v>
      </c>
      <c r="S173" t="s">
        <v>33</v>
      </c>
      <c r="T173" t="s">
        <v>34</v>
      </c>
      <c r="W173" t="s">
        <v>35</v>
      </c>
      <c r="Y173" s="1" t="d">
        <f t="shared" si="6"/>
        <v>2024-11-11</v>
      </c>
      <c r="Z173">
        <f t="shared" si="7"/>
        <v>15</v>
      </c>
      <c r="AA173" t="str">
        <f t="shared" si="8"/>
        <v>No Discount</v>
      </c>
    </row>
    <row r="174" spans="1:27">
      <c r="A174" t="s">
        <v>778</v>
      </c>
      <c r="B174" s="1" t="d">
        <v>2024-11-13</v>
      </c>
      <c r="C174" t="s">
        <v>779</v>
      </c>
      <c r="D174" t="s">
        <v>38</v>
      </c>
      <c r="E174" t="s">
        <v>780</v>
      </c>
      <c r="F174" t="s">
        <v>53</v>
      </c>
      <c r="G174" t="s">
        <v>781</v>
      </c>
      <c r="H174">
        <v>2499</v>
      </c>
      <c r="I174">
        <v>1</v>
      </c>
      <c r="J174">
        <v>2499</v>
      </c>
      <c r="K174" s="2" t="d">
        <v>2015-11-01</v>
      </c>
      <c r="L174">
        <v>15</v>
      </c>
      <c r="M174" t="s">
        <v>43</v>
      </c>
      <c r="N174" t="s">
        <v>44</v>
      </c>
      <c r="O174" t="s">
        <v>45</v>
      </c>
      <c r="P174" t="s">
        <v>45</v>
      </c>
      <c r="Q174" t="s">
        <v>45</v>
      </c>
      <c r="R174" s="1" t="d">
        <v>2024-11-26</v>
      </c>
      <c r="S174" t="s">
        <v>33</v>
      </c>
      <c r="T174" t="s">
        <v>46</v>
      </c>
      <c r="U174" t="s">
        <v>47</v>
      </c>
      <c r="V174" s="1" t="d">
        <v>2024-12-25</v>
      </c>
      <c r="W174" t="s">
        <v>48</v>
      </c>
      <c r="Y174" s="1" t="d">
        <f t="shared" si="6"/>
        <v>2024-11-11</v>
      </c>
      <c r="Z174">
        <f t="shared" si="7"/>
        <v>13</v>
      </c>
      <c r="AA174" t="str">
        <f t="shared" si="8"/>
        <v>Low (1-20%)</v>
      </c>
    </row>
    <row r="175" spans="1:27">
      <c r="A175" t="s">
        <v>782</v>
      </c>
      <c r="B175" s="1" t="d">
        <v>2024-11-13</v>
      </c>
      <c r="C175" t="s">
        <v>783</v>
      </c>
      <c r="D175" t="s">
        <v>25</v>
      </c>
      <c r="E175" t="s">
        <v>784</v>
      </c>
      <c r="F175" t="s">
        <v>61</v>
      </c>
      <c r="G175" t="s">
        <v>785</v>
      </c>
      <c r="H175">
        <v>6299</v>
      </c>
      <c r="I175">
        <v>1</v>
      </c>
      <c r="J175">
        <v>6299</v>
      </c>
      <c r="L175">
        <v>0</v>
      </c>
      <c r="M175" t="s">
        <v>55</v>
      </c>
      <c r="N175" t="s">
        <v>65</v>
      </c>
      <c r="O175" t="s">
        <v>90</v>
      </c>
      <c r="P175" t="s">
        <v>91</v>
      </c>
      <c r="Q175" t="s">
        <v>45</v>
      </c>
      <c r="S175" t="s">
        <v>120</v>
      </c>
      <c r="T175" t="s">
        <v>34</v>
      </c>
      <c r="W175" t="s">
        <v>35</v>
      </c>
      <c r="Y175" s="1" t="d">
        <f t="shared" si="6"/>
        <v>2024-11-11</v>
      </c>
      <c r="Z175" t="str">
        <f t="shared" si="7"/>
        <v/>
      </c>
      <c r="AA175" t="str">
        <f t="shared" si="8"/>
        <v>No Discount</v>
      </c>
    </row>
    <row r="176" spans="1:27">
      <c r="A176" t="s">
        <v>786</v>
      </c>
      <c r="B176" s="1" t="d">
        <v>2024-11-14</v>
      </c>
      <c r="C176" t="s">
        <v>787</v>
      </c>
      <c r="D176" t="s">
        <v>25</v>
      </c>
      <c r="E176" t="s">
        <v>788</v>
      </c>
      <c r="F176" t="s">
        <v>71</v>
      </c>
      <c r="G176" t="s">
        <v>789</v>
      </c>
      <c r="H176">
        <v>1599</v>
      </c>
      <c r="I176">
        <v>1</v>
      </c>
      <c r="J176">
        <v>1599</v>
      </c>
      <c r="L176">
        <v>0</v>
      </c>
      <c r="M176" t="s">
        <v>111</v>
      </c>
      <c r="N176" t="s">
        <v>30</v>
      </c>
      <c r="O176" t="s">
        <v>66</v>
      </c>
      <c r="P176" t="s">
        <v>67</v>
      </c>
      <c r="Q176" t="s">
        <v>56</v>
      </c>
      <c r="R176" s="1" t="d">
        <v>2024-11-27</v>
      </c>
      <c r="S176" t="s">
        <v>33</v>
      </c>
      <c r="T176" t="s">
        <v>46</v>
      </c>
      <c r="U176" t="s">
        <v>138</v>
      </c>
      <c r="V176" s="1" t="d">
        <v>2024-12-26</v>
      </c>
      <c r="W176" t="s">
        <v>48</v>
      </c>
      <c r="Y176" s="1" t="d">
        <f t="shared" si="6"/>
        <v>2024-11-11</v>
      </c>
      <c r="Z176">
        <f t="shared" si="7"/>
        <v>13</v>
      </c>
      <c r="AA176" t="str">
        <f t="shared" si="8"/>
        <v>No Discount</v>
      </c>
    </row>
    <row r="177" spans="1:27">
      <c r="A177" t="s">
        <v>790</v>
      </c>
      <c r="B177" s="1" t="d">
        <v>2024-11-14</v>
      </c>
      <c r="C177" t="s">
        <v>791</v>
      </c>
      <c r="D177" t="s">
        <v>25</v>
      </c>
      <c r="E177" t="s">
        <v>792</v>
      </c>
      <c r="F177" t="s">
        <v>27</v>
      </c>
      <c r="G177" t="s">
        <v>793</v>
      </c>
      <c r="H177">
        <v>1699</v>
      </c>
      <c r="I177">
        <v>1</v>
      </c>
      <c r="J177">
        <v>1699</v>
      </c>
      <c r="L177">
        <v>0</v>
      </c>
      <c r="M177" t="s">
        <v>29</v>
      </c>
      <c r="N177" t="s">
        <v>44</v>
      </c>
      <c r="O177" t="s">
        <v>77</v>
      </c>
      <c r="P177" t="s">
        <v>78</v>
      </c>
      <c r="Q177" t="s">
        <v>56</v>
      </c>
      <c r="R177" s="1" t="d">
        <v>2024-11-28</v>
      </c>
      <c r="S177" t="s">
        <v>33</v>
      </c>
      <c r="T177" t="s">
        <v>34</v>
      </c>
      <c r="W177" t="s">
        <v>35</v>
      </c>
      <c r="Y177" s="1" t="d">
        <f t="shared" si="6"/>
        <v>2024-11-11</v>
      </c>
      <c r="Z177">
        <f t="shared" si="7"/>
        <v>14</v>
      </c>
      <c r="AA177" t="str">
        <f t="shared" si="8"/>
        <v>No Discount</v>
      </c>
    </row>
    <row r="178" spans="1:27">
      <c r="A178" t="s">
        <v>794</v>
      </c>
      <c r="B178" s="1" t="d">
        <v>2024-11-14</v>
      </c>
      <c r="C178" t="s">
        <v>795</v>
      </c>
      <c r="D178" t="s">
        <v>25</v>
      </c>
      <c r="E178" t="s">
        <v>796</v>
      </c>
      <c r="F178" t="s">
        <v>40</v>
      </c>
      <c r="G178" t="s">
        <v>797</v>
      </c>
      <c r="H178">
        <v>3199</v>
      </c>
      <c r="I178">
        <v>1</v>
      </c>
      <c r="J178">
        <v>3199</v>
      </c>
      <c r="K178" s="2" t="d">
        <v>2015-11-01</v>
      </c>
      <c r="L178">
        <v>15</v>
      </c>
      <c r="M178" t="s">
        <v>64</v>
      </c>
      <c r="N178" t="s">
        <v>65</v>
      </c>
      <c r="O178" t="s">
        <v>84</v>
      </c>
      <c r="P178" t="s">
        <v>32</v>
      </c>
      <c r="Q178" t="s">
        <v>31</v>
      </c>
      <c r="R178" s="1" t="d">
        <v>2024-11-29</v>
      </c>
      <c r="S178" t="s">
        <v>33</v>
      </c>
      <c r="T178" t="s">
        <v>46</v>
      </c>
      <c r="U178" t="s">
        <v>47</v>
      </c>
      <c r="V178" s="1" t="d">
        <v>2024-12-28</v>
      </c>
      <c r="W178" t="s">
        <v>48</v>
      </c>
      <c r="Y178" s="1" t="d">
        <f t="shared" si="6"/>
        <v>2024-11-11</v>
      </c>
      <c r="Z178">
        <f t="shared" si="7"/>
        <v>15</v>
      </c>
      <c r="AA178" t="str">
        <f t="shared" si="8"/>
        <v>Low (1-20%)</v>
      </c>
    </row>
    <row r="179" spans="1:27">
      <c r="A179" t="s">
        <v>798</v>
      </c>
      <c r="B179" s="1" t="d">
        <v>2024-11-15</v>
      </c>
      <c r="C179" t="s">
        <v>799</v>
      </c>
      <c r="D179" t="s">
        <v>38</v>
      </c>
      <c r="E179" t="s">
        <v>800</v>
      </c>
      <c r="F179" t="s">
        <v>53</v>
      </c>
      <c r="G179" t="s">
        <v>801</v>
      </c>
      <c r="H179">
        <v>2099</v>
      </c>
      <c r="I179">
        <v>1</v>
      </c>
      <c r="J179">
        <v>2099</v>
      </c>
      <c r="L179">
        <v>0</v>
      </c>
      <c r="M179" t="s">
        <v>43</v>
      </c>
      <c r="N179" t="s">
        <v>30</v>
      </c>
      <c r="O179" t="s">
        <v>96</v>
      </c>
      <c r="P179" t="s">
        <v>97</v>
      </c>
      <c r="Q179" t="s">
        <v>31</v>
      </c>
      <c r="R179" s="1" t="d">
        <v>2024-11-28</v>
      </c>
      <c r="S179" t="s">
        <v>33</v>
      </c>
      <c r="T179" t="s">
        <v>34</v>
      </c>
      <c r="W179" t="s">
        <v>35</v>
      </c>
      <c r="Y179" s="1" t="d">
        <f t="shared" si="6"/>
        <v>2024-11-11</v>
      </c>
      <c r="Z179">
        <f t="shared" si="7"/>
        <v>13</v>
      </c>
      <c r="AA179" t="str">
        <f t="shared" si="8"/>
        <v>No Discount</v>
      </c>
    </row>
    <row r="180" spans="1:27">
      <c r="A180" t="s">
        <v>802</v>
      </c>
      <c r="B180" s="1" t="d">
        <v>2024-11-15</v>
      </c>
      <c r="C180" t="s">
        <v>803</v>
      </c>
      <c r="D180" t="s">
        <v>25</v>
      </c>
      <c r="E180" t="s">
        <v>804</v>
      </c>
      <c r="F180" t="s">
        <v>61</v>
      </c>
      <c r="G180" t="s">
        <v>805</v>
      </c>
      <c r="H180">
        <v>6999</v>
      </c>
      <c r="I180">
        <v>1</v>
      </c>
      <c r="J180">
        <v>6999</v>
      </c>
      <c r="L180">
        <v>0</v>
      </c>
      <c r="M180" t="s">
        <v>29</v>
      </c>
      <c r="N180" t="s">
        <v>44</v>
      </c>
      <c r="O180" t="s">
        <v>102</v>
      </c>
      <c r="P180" t="s">
        <v>103</v>
      </c>
      <c r="Q180" t="s">
        <v>45</v>
      </c>
      <c r="R180" s="1" t="d">
        <v>2024-11-30</v>
      </c>
      <c r="S180" t="s">
        <v>33</v>
      </c>
      <c r="T180" t="s">
        <v>46</v>
      </c>
      <c r="U180" t="s">
        <v>104</v>
      </c>
      <c r="V180" s="1" t="d">
        <v>2024-12-29</v>
      </c>
      <c r="W180" t="s">
        <v>48</v>
      </c>
      <c r="Y180" s="1" t="d">
        <f t="shared" si="6"/>
        <v>2024-11-11</v>
      </c>
      <c r="Z180">
        <f t="shared" si="7"/>
        <v>15</v>
      </c>
      <c r="AA180" t="str">
        <f t="shared" si="8"/>
        <v>No Discount</v>
      </c>
    </row>
    <row r="181" spans="1:27">
      <c r="A181" t="s">
        <v>806</v>
      </c>
      <c r="B181" s="1" t="d">
        <v>2024-11-15</v>
      </c>
      <c r="C181" t="s">
        <v>807</v>
      </c>
      <c r="D181" t="s">
        <v>25</v>
      </c>
      <c r="E181" t="s">
        <v>808</v>
      </c>
      <c r="F181" t="s">
        <v>71</v>
      </c>
      <c r="G181" t="s">
        <v>809</v>
      </c>
      <c r="H181">
        <v>899</v>
      </c>
      <c r="I181">
        <v>1</v>
      </c>
      <c r="J181">
        <v>899</v>
      </c>
      <c r="L181">
        <v>0</v>
      </c>
      <c r="M181" t="s">
        <v>55</v>
      </c>
      <c r="N181" t="s">
        <v>65</v>
      </c>
      <c r="O181" t="s">
        <v>112</v>
      </c>
      <c r="P181" t="s">
        <v>113</v>
      </c>
      <c r="Q181" t="s">
        <v>45</v>
      </c>
      <c r="R181" s="1" t="d">
        <v>2024-11-28</v>
      </c>
      <c r="S181" t="s">
        <v>33</v>
      </c>
      <c r="T181" t="s">
        <v>46</v>
      </c>
      <c r="U181" t="s">
        <v>79</v>
      </c>
      <c r="V181" s="1" t="d">
        <v>2024-12-27</v>
      </c>
      <c r="W181" t="s">
        <v>48</v>
      </c>
      <c r="Y181" s="1" t="d">
        <f t="shared" si="6"/>
        <v>2024-11-11</v>
      </c>
      <c r="Z181">
        <f t="shared" si="7"/>
        <v>13</v>
      </c>
      <c r="AA181" t="str">
        <f t="shared" si="8"/>
        <v>No Discount</v>
      </c>
    </row>
    <row r="182" spans="1:27">
      <c r="A182" t="s">
        <v>810</v>
      </c>
      <c r="B182" s="1" t="d">
        <v>2024-11-16</v>
      </c>
      <c r="C182" t="s">
        <v>811</v>
      </c>
      <c r="D182" t="s">
        <v>25</v>
      </c>
      <c r="E182" t="s">
        <v>812</v>
      </c>
      <c r="F182" t="s">
        <v>27</v>
      </c>
      <c r="G182" t="s">
        <v>813</v>
      </c>
      <c r="H182">
        <v>1499</v>
      </c>
      <c r="I182">
        <v>1</v>
      </c>
      <c r="J182">
        <v>1499</v>
      </c>
      <c r="K182" s="2" t="d">
        <v>2015-11-01</v>
      </c>
      <c r="L182">
        <v>15</v>
      </c>
      <c r="M182" t="s">
        <v>111</v>
      </c>
      <c r="N182" t="s">
        <v>30</v>
      </c>
      <c r="O182" t="s">
        <v>56</v>
      </c>
      <c r="P182" t="s">
        <v>57</v>
      </c>
      <c r="Q182" t="s">
        <v>56</v>
      </c>
      <c r="R182" s="1" t="d">
        <v>2024-11-29</v>
      </c>
      <c r="S182" t="s">
        <v>33</v>
      </c>
      <c r="T182" t="s">
        <v>34</v>
      </c>
      <c r="W182" t="s">
        <v>35</v>
      </c>
      <c r="Y182" s="1" t="d">
        <f t="shared" si="6"/>
        <v>2024-11-11</v>
      </c>
      <c r="Z182">
        <f t="shared" si="7"/>
        <v>13</v>
      </c>
      <c r="AA182" t="str">
        <f t="shared" si="8"/>
        <v>Low (1-20%)</v>
      </c>
    </row>
    <row r="183" spans="1:27">
      <c r="A183" t="s">
        <v>814</v>
      </c>
      <c r="B183" s="1" t="d">
        <v>2024-11-16</v>
      </c>
      <c r="C183" t="s">
        <v>815</v>
      </c>
      <c r="D183" t="s">
        <v>25</v>
      </c>
      <c r="E183" t="s">
        <v>816</v>
      </c>
      <c r="F183" t="s">
        <v>40</v>
      </c>
      <c r="G183" t="s">
        <v>817</v>
      </c>
      <c r="H183">
        <v>2999</v>
      </c>
      <c r="I183">
        <v>1</v>
      </c>
      <c r="J183">
        <v>2999</v>
      </c>
      <c r="L183">
        <v>0</v>
      </c>
      <c r="M183" t="s">
        <v>64</v>
      </c>
      <c r="N183" t="s">
        <v>44</v>
      </c>
      <c r="O183" t="s">
        <v>31</v>
      </c>
      <c r="P183" t="s">
        <v>32</v>
      </c>
      <c r="Q183" t="s">
        <v>31</v>
      </c>
      <c r="R183" s="1" t="d">
        <v>2024-12-01</v>
      </c>
      <c r="S183" t="s">
        <v>33</v>
      </c>
      <c r="T183" t="s">
        <v>46</v>
      </c>
      <c r="U183" t="s">
        <v>68</v>
      </c>
      <c r="V183" s="1" t="d">
        <v>2024-12-30</v>
      </c>
      <c r="W183" t="s">
        <v>48</v>
      </c>
      <c r="Y183" s="1" t="d">
        <f t="shared" si="6"/>
        <v>2024-11-11</v>
      </c>
      <c r="Z183">
        <f t="shared" si="7"/>
        <v>15</v>
      </c>
      <c r="AA183" t="str">
        <f t="shared" si="8"/>
        <v>No Discount</v>
      </c>
    </row>
    <row r="184" spans="1:27">
      <c r="A184" t="s">
        <v>818</v>
      </c>
      <c r="B184" s="1" t="d">
        <v>2024-11-16</v>
      </c>
      <c r="C184" t="s">
        <v>819</v>
      </c>
      <c r="D184" t="s">
        <v>38</v>
      </c>
      <c r="E184" t="s">
        <v>820</v>
      </c>
      <c r="F184" t="s">
        <v>53</v>
      </c>
      <c r="G184" t="s">
        <v>821</v>
      </c>
      <c r="H184">
        <v>1899</v>
      </c>
      <c r="I184">
        <v>1</v>
      </c>
      <c r="J184">
        <v>1899</v>
      </c>
      <c r="L184">
        <v>0</v>
      </c>
      <c r="M184" t="s">
        <v>43</v>
      </c>
      <c r="N184" t="s">
        <v>65</v>
      </c>
      <c r="O184" t="s">
        <v>45</v>
      </c>
      <c r="P184" t="s">
        <v>45</v>
      </c>
      <c r="Q184" t="s">
        <v>45</v>
      </c>
      <c r="R184" s="1" t="d">
        <v>2024-11-29</v>
      </c>
      <c r="S184" t="s">
        <v>33</v>
      </c>
      <c r="T184" t="s">
        <v>34</v>
      </c>
      <c r="W184" t="s">
        <v>35</v>
      </c>
      <c r="Y184" s="1" t="d">
        <f t="shared" si="6"/>
        <v>2024-11-11</v>
      </c>
      <c r="Z184">
        <f t="shared" si="7"/>
        <v>13</v>
      </c>
      <c r="AA184" t="str">
        <f t="shared" si="8"/>
        <v>No Discount</v>
      </c>
    </row>
    <row r="185" spans="1:27">
      <c r="A185" t="s">
        <v>822</v>
      </c>
      <c r="B185" s="1" t="d">
        <v>2024-11-17</v>
      </c>
      <c r="C185" t="s">
        <v>823</v>
      </c>
      <c r="D185" t="s">
        <v>25</v>
      </c>
      <c r="E185" t="s">
        <v>824</v>
      </c>
      <c r="F185" t="s">
        <v>61</v>
      </c>
      <c r="G185" t="s">
        <v>825</v>
      </c>
      <c r="H185">
        <v>7499</v>
      </c>
      <c r="I185">
        <v>1</v>
      </c>
      <c r="J185">
        <v>7499</v>
      </c>
      <c r="L185">
        <v>0</v>
      </c>
      <c r="M185" t="s">
        <v>29</v>
      </c>
      <c r="N185" t="s">
        <v>30</v>
      </c>
      <c r="O185" t="s">
        <v>118</v>
      </c>
      <c r="P185" t="s">
        <v>119</v>
      </c>
      <c r="Q185" t="s">
        <v>45</v>
      </c>
      <c r="R185" s="1" t="d">
        <v>2024-12-02</v>
      </c>
      <c r="S185" t="s">
        <v>33</v>
      </c>
      <c r="T185" t="s">
        <v>46</v>
      </c>
      <c r="U185" t="s">
        <v>47</v>
      </c>
      <c r="V185" s="1" t="d">
        <v>2024-12-31</v>
      </c>
      <c r="W185" t="s">
        <v>48</v>
      </c>
      <c r="Y185" s="1" t="d">
        <f t="shared" si="6"/>
        <v>2024-11-11</v>
      </c>
      <c r="Z185">
        <f t="shared" si="7"/>
        <v>15</v>
      </c>
      <c r="AA185" t="str">
        <f t="shared" si="8"/>
        <v>No Discount</v>
      </c>
    </row>
    <row r="186" spans="1:27">
      <c r="A186" t="s">
        <v>826</v>
      </c>
      <c r="B186" s="1" t="d">
        <v>2024-11-17</v>
      </c>
      <c r="C186" t="s">
        <v>827</v>
      </c>
      <c r="D186" t="s">
        <v>25</v>
      </c>
      <c r="E186" t="s">
        <v>828</v>
      </c>
      <c r="F186" t="s">
        <v>71</v>
      </c>
      <c r="G186" t="s">
        <v>829</v>
      </c>
      <c r="H186">
        <v>1299</v>
      </c>
      <c r="I186">
        <v>1</v>
      </c>
      <c r="J186">
        <v>1299</v>
      </c>
      <c r="K186" s="2" t="d">
        <v>2015-11-01</v>
      </c>
      <c r="L186">
        <v>15</v>
      </c>
      <c r="M186" t="s">
        <v>55</v>
      </c>
      <c r="N186" t="s">
        <v>44</v>
      </c>
      <c r="O186" t="s">
        <v>137</v>
      </c>
      <c r="P186" t="s">
        <v>113</v>
      </c>
      <c r="Q186" t="s">
        <v>45</v>
      </c>
      <c r="R186" s="1" t="d">
        <v>2024-11-30</v>
      </c>
      <c r="S186" t="s">
        <v>33</v>
      </c>
      <c r="T186" t="s">
        <v>34</v>
      </c>
      <c r="W186" t="s">
        <v>35</v>
      </c>
      <c r="Y186" s="1" t="d">
        <f t="shared" si="6"/>
        <v>2024-11-11</v>
      </c>
      <c r="Z186">
        <f t="shared" si="7"/>
        <v>13</v>
      </c>
      <c r="AA186" t="str">
        <f t="shared" si="8"/>
        <v>Low (1-20%)</v>
      </c>
    </row>
    <row r="187" spans="1:27">
      <c r="A187" t="s">
        <v>830</v>
      </c>
      <c r="B187" s="1" t="d">
        <v>2024-11-17</v>
      </c>
      <c r="C187" t="s">
        <v>831</v>
      </c>
      <c r="D187" t="s">
        <v>25</v>
      </c>
      <c r="E187" t="s">
        <v>832</v>
      </c>
      <c r="F187" t="s">
        <v>27</v>
      </c>
      <c r="G187" t="s">
        <v>833</v>
      </c>
      <c r="H187">
        <v>1599</v>
      </c>
      <c r="I187">
        <v>1</v>
      </c>
      <c r="J187">
        <v>1599</v>
      </c>
      <c r="L187">
        <v>0</v>
      </c>
      <c r="M187" t="s">
        <v>43</v>
      </c>
      <c r="N187" t="s">
        <v>65</v>
      </c>
      <c r="O187" t="s">
        <v>143</v>
      </c>
      <c r="P187" t="s">
        <v>144</v>
      </c>
      <c r="Q187" t="s">
        <v>45</v>
      </c>
      <c r="R187" s="1" t="d">
        <v>2024-12-01</v>
      </c>
      <c r="S187" t="s">
        <v>33</v>
      </c>
      <c r="T187" t="s">
        <v>46</v>
      </c>
      <c r="U187" t="s">
        <v>138</v>
      </c>
      <c r="V187" s="1" t="d">
        <v>2024-12-29</v>
      </c>
      <c r="W187" t="s">
        <v>48</v>
      </c>
      <c r="Y187" s="1" t="d">
        <f t="shared" si="6"/>
        <v>2024-11-11</v>
      </c>
      <c r="Z187">
        <f t="shared" si="7"/>
        <v>14</v>
      </c>
      <c r="AA187" t="str">
        <f t="shared" si="8"/>
        <v>No Discount</v>
      </c>
    </row>
    <row r="188" spans="1:27">
      <c r="A188" t="s">
        <v>834</v>
      </c>
      <c r="B188" s="1" t="d">
        <v>2024-11-18</v>
      </c>
      <c r="C188" t="s">
        <v>835</v>
      </c>
      <c r="D188" t="s">
        <v>25</v>
      </c>
      <c r="E188" t="s">
        <v>836</v>
      </c>
      <c r="F188" t="s">
        <v>40</v>
      </c>
      <c r="G188" t="s">
        <v>837</v>
      </c>
      <c r="H188">
        <v>3799</v>
      </c>
      <c r="I188">
        <v>1</v>
      </c>
      <c r="J188">
        <v>3799</v>
      </c>
      <c r="L188">
        <v>0</v>
      </c>
      <c r="M188" t="s">
        <v>111</v>
      </c>
      <c r="N188" t="s">
        <v>30</v>
      </c>
      <c r="O188" t="s">
        <v>150</v>
      </c>
      <c r="P188" t="s">
        <v>151</v>
      </c>
      <c r="Q188" t="s">
        <v>31</v>
      </c>
      <c r="R188" s="1" t="d">
        <v>2024-12-03</v>
      </c>
      <c r="S188" t="s">
        <v>33</v>
      </c>
      <c r="T188" t="s">
        <v>34</v>
      </c>
      <c r="W188" t="s">
        <v>35</v>
      </c>
      <c r="Y188" s="1" t="d">
        <f t="shared" si="6"/>
        <v>2024-11-18</v>
      </c>
      <c r="Z188">
        <f t="shared" si="7"/>
        <v>15</v>
      </c>
      <c r="AA188" t="str">
        <f t="shared" si="8"/>
        <v>No Discount</v>
      </c>
    </row>
    <row r="189" spans="1:27">
      <c r="A189" t="s">
        <v>838</v>
      </c>
      <c r="B189" s="1" t="d">
        <v>2024-11-18</v>
      </c>
      <c r="C189" t="s">
        <v>839</v>
      </c>
      <c r="D189" t="s">
        <v>38</v>
      </c>
      <c r="E189" t="s">
        <v>840</v>
      </c>
      <c r="F189" t="s">
        <v>53</v>
      </c>
      <c r="G189" t="s">
        <v>841</v>
      </c>
      <c r="H189">
        <v>2299</v>
      </c>
      <c r="I189">
        <v>1</v>
      </c>
      <c r="J189">
        <v>2299</v>
      </c>
      <c r="L189">
        <v>0</v>
      </c>
      <c r="M189" t="s">
        <v>29</v>
      </c>
      <c r="N189" t="s">
        <v>44</v>
      </c>
      <c r="O189" t="s">
        <v>156</v>
      </c>
      <c r="P189" t="s">
        <v>97</v>
      </c>
      <c r="Q189" t="s">
        <v>31</v>
      </c>
      <c r="R189" s="1" t="d">
        <v>2024-12-01</v>
      </c>
      <c r="S189" t="s">
        <v>33</v>
      </c>
      <c r="T189" t="s">
        <v>46</v>
      </c>
      <c r="U189" t="s">
        <v>47</v>
      </c>
      <c r="V189" s="1" t="d">
        <v>2024-12-30</v>
      </c>
      <c r="W189" t="s">
        <v>48</v>
      </c>
      <c r="Y189" s="1" t="d">
        <f t="shared" si="6"/>
        <v>2024-11-18</v>
      </c>
      <c r="Z189">
        <f t="shared" si="7"/>
        <v>13</v>
      </c>
      <c r="AA189" t="str">
        <f t="shared" si="8"/>
        <v>No Discount</v>
      </c>
    </row>
    <row r="190" spans="1:27">
      <c r="A190" t="s">
        <v>842</v>
      </c>
      <c r="B190" s="1" t="d">
        <v>2024-11-18</v>
      </c>
      <c r="C190" t="s">
        <v>843</v>
      </c>
      <c r="D190" t="s">
        <v>25</v>
      </c>
      <c r="E190" t="s">
        <v>844</v>
      </c>
      <c r="F190" t="s">
        <v>61</v>
      </c>
      <c r="G190" t="s">
        <v>845</v>
      </c>
      <c r="H190">
        <v>5999</v>
      </c>
      <c r="I190">
        <v>1</v>
      </c>
      <c r="J190">
        <v>5999</v>
      </c>
      <c r="K190" s="2" t="d">
        <v>2015-11-01</v>
      </c>
      <c r="L190">
        <v>15</v>
      </c>
      <c r="M190" t="s">
        <v>64</v>
      </c>
      <c r="N190" t="s">
        <v>65</v>
      </c>
      <c r="O190" t="s">
        <v>161</v>
      </c>
      <c r="P190" t="s">
        <v>162</v>
      </c>
      <c r="Q190" t="s">
        <v>45</v>
      </c>
      <c r="R190" s="1" t="d">
        <v>2024-12-04</v>
      </c>
      <c r="S190" t="s">
        <v>33</v>
      </c>
      <c r="T190" t="s">
        <v>46</v>
      </c>
      <c r="U190" t="s">
        <v>104</v>
      </c>
      <c r="V190" s="1" t="d">
        <v>2025-01-02</v>
      </c>
      <c r="W190" t="s">
        <v>48</v>
      </c>
      <c r="Y190" s="1" t="d">
        <f t="shared" si="6"/>
        <v>2024-11-18</v>
      </c>
      <c r="Z190">
        <f t="shared" si="7"/>
        <v>16</v>
      </c>
      <c r="AA190" t="str">
        <f t="shared" si="8"/>
        <v>Low (1-20%)</v>
      </c>
    </row>
    <row r="191" spans="1:27">
      <c r="A191" t="s">
        <v>846</v>
      </c>
      <c r="B191" s="1" t="d">
        <v>2024-11-19</v>
      </c>
      <c r="C191" t="s">
        <v>847</v>
      </c>
      <c r="D191" t="s">
        <v>25</v>
      </c>
      <c r="E191" t="s">
        <v>848</v>
      </c>
      <c r="F191" t="s">
        <v>71</v>
      </c>
      <c r="G191" t="s">
        <v>849</v>
      </c>
      <c r="H191">
        <v>499</v>
      </c>
      <c r="I191">
        <v>2</v>
      </c>
      <c r="J191">
        <v>998</v>
      </c>
      <c r="L191">
        <v>0</v>
      </c>
      <c r="M191" t="s">
        <v>43</v>
      </c>
      <c r="N191" t="s">
        <v>30</v>
      </c>
      <c r="O191" t="s">
        <v>167</v>
      </c>
      <c r="P191" t="s">
        <v>151</v>
      </c>
      <c r="Q191" t="s">
        <v>31</v>
      </c>
      <c r="R191" s="1" t="d">
        <v>2024-12-02</v>
      </c>
      <c r="S191" t="s">
        <v>33</v>
      </c>
      <c r="T191" t="s">
        <v>34</v>
      </c>
      <c r="W191" t="s">
        <v>35</v>
      </c>
      <c r="Y191" s="1" t="d">
        <f t="shared" si="6"/>
        <v>2024-11-18</v>
      </c>
      <c r="Z191">
        <f t="shared" si="7"/>
        <v>13</v>
      </c>
      <c r="AA191" t="str">
        <f t="shared" si="8"/>
        <v>No Discount</v>
      </c>
    </row>
    <row r="192" spans="1:27">
      <c r="A192" t="s">
        <v>850</v>
      </c>
      <c r="B192" s="1" t="d">
        <v>2024-11-19</v>
      </c>
      <c r="C192" t="s">
        <v>851</v>
      </c>
      <c r="D192" t="s">
        <v>25</v>
      </c>
      <c r="E192" t="s">
        <v>852</v>
      </c>
      <c r="F192" t="s">
        <v>27</v>
      </c>
      <c r="G192" t="s">
        <v>853</v>
      </c>
      <c r="H192">
        <v>1799</v>
      </c>
      <c r="I192">
        <v>1</v>
      </c>
      <c r="J192">
        <v>1799</v>
      </c>
      <c r="L192">
        <v>0</v>
      </c>
      <c r="M192" t="s">
        <v>55</v>
      </c>
      <c r="N192" t="s">
        <v>44</v>
      </c>
      <c r="O192" t="s">
        <v>172</v>
      </c>
      <c r="P192" t="s">
        <v>32</v>
      </c>
      <c r="Q192" t="s">
        <v>31</v>
      </c>
      <c r="S192" t="s">
        <v>120</v>
      </c>
      <c r="T192" t="s">
        <v>34</v>
      </c>
      <c r="W192" t="s">
        <v>35</v>
      </c>
      <c r="Y192" s="1" t="d">
        <f t="shared" si="6"/>
        <v>2024-11-18</v>
      </c>
      <c r="Z192" t="str">
        <f t="shared" si="7"/>
        <v/>
      </c>
      <c r="AA192" t="str">
        <f t="shared" si="8"/>
        <v>No Discount</v>
      </c>
    </row>
    <row r="193" spans="1:27">
      <c r="A193" t="s">
        <v>854</v>
      </c>
      <c r="B193" s="1" t="d">
        <v>2024-11-19</v>
      </c>
      <c r="C193" t="s">
        <v>855</v>
      </c>
      <c r="D193" t="s">
        <v>25</v>
      </c>
      <c r="E193" t="s">
        <v>856</v>
      </c>
      <c r="F193" t="s">
        <v>40</v>
      </c>
      <c r="G193" t="s">
        <v>857</v>
      </c>
      <c r="H193">
        <v>2999</v>
      </c>
      <c r="I193">
        <v>1</v>
      </c>
      <c r="J193">
        <v>2999</v>
      </c>
      <c r="L193">
        <v>0</v>
      </c>
      <c r="M193" t="s">
        <v>29</v>
      </c>
      <c r="N193" t="s">
        <v>65</v>
      </c>
      <c r="O193" t="s">
        <v>177</v>
      </c>
      <c r="P193" t="s">
        <v>67</v>
      </c>
      <c r="Q193" t="s">
        <v>56</v>
      </c>
      <c r="R193" s="1" t="d">
        <v>2024-12-05</v>
      </c>
      <c r="S193" t="s">
        <v>33</v>
      </c>
      <c r="T193" t="s">
        <v>46</v>
      </c>
      <c r="U193" t="s">
        <v>79</v>
      </c>
      <c r="V193" s="1" t="d">
        <v>2025-01-03</v>
      </c>
      <c r="W193" t="s">
        <v>48</v>
      </c>
      <c r="Y193" s="1" t="d">
        <f t="shared" si="6"/>
        <v>2024-11-18</v>
      </c>
      <c r="Z193">
        <f t="shared" si="7"/>
        <v>16</v>
      </c>
      <c r="AA193" t="str">
        <f t="shared" si="8"/>
        <v>No Discount</v>
      </c>
    </row>
    <row r="194" spans="1:27">
      <c r="A194" t="s">
        <v>858</v>
      </c>
      <c r="B194" s="1" t="d">
        <v>2024-11-20</v>
      </c>
      <c r="C194" t="s">
        <v>859</v>
      </c>
      <c r="D194" t="s">
        <v>38</v>
      </c>
      <c r="E194" t="s">
        <v>860</v>
      </c>
      <c r="F194" t="s">
        <v>53</v>
      </c>
      <c r="G194" t="s">
        <v>861</v>
      </c>
      <c r="H194">
        <v>2199</v>
      </c>
      <c r="I194">
        <v>1</v>
      </c>
      <c r="J194">
        <v>2199</v>
      </c>
      <c r="K194" s="2" t="d">
        <v>2015-11-01</v>
      </c>
      <c r="L194">
        <v>15</v>
      </c>
      <c r="M194" t="s">
        <v>111</v>
      </c>
      <c r="N194" t="s">
        <v>30</v>
      </c>
      <c r="O194" t="s">
        <v>182</v>
      </c>
      <c r="P194" t="s">
        <v>183</v>
      </c>
      <c r="Q194" t="s">
        <v>56</v>
      </c>
      <c r="R194" s="1" t="d">
        <v>2024-12-03</v>
      </c>
      <c r="S194" t="s">
        <v>33</v>
      </c>
      <c r="T194" t="s">
        <v>34</v>
      </c>
      <c r="W194" t="s">
        <v>35</v>
      </c>
      <c r="Y194" s="1" t="d">
        <f t="shared" si="6"/>
        <v>2024-11-18</v>
      </c>
      <c r="Z194">
        <f t="shared" si="7"/>
        <v>13</v>
      </c>
      <c r="AA194" t="str">
        <f t="shared" si="8"/>
        <v>Low (1-20%)</v>
      </c>
    </row>
    <row r="195" spans="1:27">
      <c r="A195" t="s">
        <v>862</v>
      </c>
      <c r="B195" s="1" t="d">
        <v>2024-11-20</v>
      </c>
      <c r="C195" t="s">
        <v>863</v>
      </c>
      <c r="D195" t="s">
        <v>25</v>
      </c>
      <c r="E195" t="s">
        <v>864</v>
      </c>
      <c r="F195" t="s">
        <v>61</v>
      </c>
      <c r="G195" t="s">
        <v>865</v>
      </c>
      <c r="H195">
        <v>4899</v>
      </c>
      <c r="I195">
        <v>1</v>
      </c>
      <c r="J195">
        <v>4899</v>
      </c>
      <c r="L195">
        <v>0</v>
      </c>
      <c r="M195" t="s">
        <v>64</v>
      </c>
      <c r="N195" t="s">
        <v>44</v>
      </c>
      <c r="O195" t="s">
        <v>188</v>
      </c>
      <c r="P195" t="s">
        <v>189</v>
      </c>
      <c r="Q195" t="s">
        <v>56</v>
      </c>
      <c r="R195" s="1" t="d">
        <v>2024-12-06</v>
      </c>
      <c r="S195" t="s">
        <v>33</v>
      </c>
      <c r="T195" t="s">
        <v>46</v>
      </c>
      <c r="U195" t="s">
        <v>68</v>
      </c>
      <c r="V195" s="1" t="d">
        <v>2025-01-04</v>
      </c>
      <c r="W195" t="s">
        <v>48</v>
      </c>
      <c r="Y195" s="1" t="d">
        <f t="shared" ref="Y195:Y258" si="9">B195 - WEEKDAY(B195,2) + 1</f>
        <v>2024-11-18</v>
      </c>
      <c r="Z195">
        <f t="shared" ref="Z195:Z258" si="10">IF(R195&lt;&gt;"", R195-B195, "")</f>
        <v>16</v>
      </c>
      <c r="AA195" t="str">
        <f t="shared" ref="AA195:AA258" si="11">IF(L195=0, "No Discount", IF(L195&lt;=20, "Low (1-20%)", "High (20%+)"))</f>
        <v>No Discount</v>
      </c>
    </row>
    <row r="196" spans="1:27">
      <c r="A196" t="s">
        <v>866</v>
      </c>
      <c r="B196" s="1" t="d">
        <v>2024-11-20</v>
      </c>
      <c r="C196" t="s">
        <v>867</v>
      </c>
      <c r="D196" t="s">
        <v>25</v>
      </c>
      <c r="E196" t="s">
        <v>868</v>
      </c>
      <c r="F196" t="s">
        <v>71</v>
      </c>
      <c r="G196" t="s">
        <v>869</v>
      </c>
      <c r="H196">
        <v>799</v>
      </c>
      <c r="I196">
        <v>1</v>
      </c>
      <c r="J196">
        <v>799</v>
      </c>
      <c r="L196">
        <v>0</v>
      </c>
      <c r="M196" t="s">
        <v>43</v>
      </c>
      <c r="N196" t="s">
        <v>65</v>
      </c>
      <c r="O196" t="s">
        <v>194</v>
      </c>
      <c r="P196" t="s">
        <v>183</v>
      </c>
      <c r="Q196" t="s">
        <v>56</v>
      </c>
      <c r="R196" s="1" t="d">
        <v>2024-12-04</v>
      </c>
      <c r="S196" t="s">
        <v>33</v>
      </c>
      <c r="T196" t="s">
        <v>34</v>
      </c>
      <c r="W196" t="s">
        <v>35</v>
      </c>
      <c r="Y196" s="1" t="d">
        <f t="shared" si="9"/>
        <v>2024-11-18</v>
      </c>
      <c r="Z196">
        <f t="shared" si="10"/>
        <v>14</v>
      </c>
      <c r="AA196" t="str">
        <f t="shared" si="11"/>
        <v>No Discount</v>
      </c>
    </row>
    <row r="197" spans="1:27">
      <c r="A197" t="s">
        <v>870</v>
      </c>
      <c r="B197" s="1" t="d">
        <v>2024-11-21</v>
      </c>
      <c r="C197" t="s">
        <v>871</v>
      </c>
      <c r="D197" t="s">
        <v>25</v>
      </c>
      <c r="E197" t="s">
        <v>872</v>
      </c>
      <c r="F197" t="s">
        <v>27</v>
      </c>
      <c r="G197" t="s">
        <v>873</v>
      </c>
      <c r="H197">
        <v>1999</v>
      </c>
      <c r="I197">
        <v>1</v>
      </c>
      <c r="J197">
        <v>1999</v>
      </c>
      <c r="L197">
        <v>0</v>
      </c>
      <c r="M197" t="s">
        <v>29</v>
      </c>
      <c r="N197" t="s">
        <v>30</v>
      </c>
      <c r="O197" t="s">
        <v>199</v>
      </c>
      <c r="P197" t="s">
        <v>57</v>
      </c>
      <c r="Q197" t="s">
        <v>56</v>
      </c>
      <c r="R197" s="1" t="d">
        <v>2024-12-05</v>
      </c>
      <c r="S197" t="s">
        <v>33</v>
      </c>
      <c r="T197" t="s">
        <v>46</v>
      </c>
      <c r="U197" t="s">
        <v>47</v>
      </c>
      <c r="V197" s="1" t="d">
        <v>2025-01-03</v>
      </c>
      <c r="W197" t="s">
        <v>48</v>
      </c>
      <c r="Y197" s="1" t="d">
        <f t="shared" si="9"/>
        <v>2024-11-18</v>
      </c>
      <c r="Z197">
        <f t="shared" si="10"/>
        <v>14</v>
      </c>
      <c r="AA197" t="str">
        <f t="shared" si="11"/>
        <v>No Discount</v>
      </c>
    </row>
    <row r="198" spans="1:27">
      <c r="A198" t="s">
        <v>874</v>
      </c>
      <c r="B198" s="1" t="d">
        <v>2024-11-21</v>
      </c>
      <c r="C198" t="s">
        <v>875</v>
      </c>
      <c r="D198" t="s">
        <v>25</v>
      </c>
      <c r="E198" t="s">
        <v>876</v>
      </c>
      <c r="F198" t="s">
        <v>40</v>
      </c>
      <c r="G198" t="s">
        <v>877</v>
      </c>
      <c r="H198">
        <v>3499</v>
      </c>
      <c r="I198">
        <v>1</v>
      </c>
      <c r="J198">
        <v>3499</v>
      </c>
      <c r="K198" s="2" t="d">
        <v>2015-11-01</v>
      </c>
      <c r="L198">
        <v>15</v>
      </c>
      <c r="M198" t="s">
        <v>55</v>
      </c>
      <c r="N198" t="s">
        <v>44</v>
      </c>
      <c r="O198" t="s">
        <v>204</v>
      </c>
      <c r="P198" t="s">
        <v>97</v>
      </c>
      <c r="Q198" t="s">
        <v>31</v>
      </c>
      <c r="R198" s="1" t="d">
        <v>2024-12-07</v>
      </c>
      <c r="S198" t="s">
        <v>33</v>
      </c>
      <c r="T198" t="s">
        <v>46</v>
      </c>
      <c r="U198" t="s">
        <v>104</v>
      </c>
      <c r="V198" s="1" t="d">
        <v>2025-01-05</v>
      </c>
      <c r="W198" t="s">
        <v>48</v>
      </c>
      <c r="Y198" s="1" t="d">
        <f t="shared" si="9"/>
        <v>2024-11-18</v>
      </c>
      <c r="Z198">
        <f t="shared" si="10"/>
        <v>16</v>
      </c>
      <c r="AA198" t="str">
        <f t="shared" si="11"/>
        <v>Low (1-20%)</v>
      </c>
    </row>
    <row r="199" spans="1:27">
      <c r="A199" t="s">
        <v>878</v>
      </c>
      <c r="B199" s="1" t="d">
        <v>2024-11-21</v>
      </c>
      <c r="C199" t="s">
        <v>879</v>
      </c>
      <c r="D199" t="s">
        <v>38</v>
      </c>
      <c r="E199" t="s">
        <v>880</v>
      </c>
      <c r="F199" t="s">
        <v>53</v>
      </c>
      <c r="G199" t="s">
        <v>881</v>
      </c>
      <c r="H199">
        <v>2599</v>
      </c>
      <c r="I199">
        <v>1</v>
      </c>
      <c r="J199">
        <v>2599</v>
      </c>
      <c r="L199">
        <v>0</v>
      </c>
      <c r="M199" t="s">
        <v>43</v>
      </c>
      <c r="N199" t="s">
        <v>65</v>
      </c>
      <c r="O199" t="s">
        <v>209</v>
      </c>
      <c r="P199" t="s">
        <v>97</v>
      </c>
      <c r="Q199" t="s">
        <v>31</v>
      </c>
      <c r="R199" s="1" t="d">
        <v>2024-12-05</v>
      </c>
      <c r="S199" t="s">
        <v>33</v>
      </c>
      <c r="T199" t="s">
        <v>34</v>
      </c>
      <c r="W199" t="s">
        <v>35</v>
      </c>
      <c r="Y199" s="1" t="d">
        <f t="shared" si="9"/>
        <v>2024-11-18</v>
      </c>
      <c r="Z199">
        <f t="shared" si="10"/>
        <v>14</v>
      </c>
      <c r="AA199" t="str">
        <f t="shared" si="11"/>
        <v>No Discount</v>
      </c>
    </row>
    <row r="200" spans="1:27">
      <c r="A200" t="s">
        <v>882</v>
      </c>
      <c r="B200" s="1" t="d">
        <v>2024-11-22</v>
      </c>
      <c r="C200" t="s">
        <v>883</v>
      </c>
      <c r="D200" t="s">
        <v>25</v>
      </c>
      <c r="E200" t="s">
        <v>884</v>
      </c>
      <c r="F200" t="s">
        <v>61</v>
      </c>
      <c r="G200" t="s">
        <v>885</v>
      </c>
      <c r="H200">
        <v>5499</v>
      </c>
      <c r="I200">
        <v>1</v>
      </c>
      <c r="J200">
        <v>5499</v>
      </c>
      <c r="L200">
        <v>0</v>
      </c>
      <c r="M200" t="s">
        <v>111</v>
      </c>
      <c r="N200" t="s">
        <v>30</v>
      </c>
      <c r="O200" t="s">
        <v>214</v>
      </c>
      <c r="P200" t="s">
        <v>113</v>
      </c>
      <c r="Q200" t="s">
        <v>45</v>
      </c>
      <c r="R200" s="1" t="d">
        <v>2024-12-08</v>
      </c>
      <c r="S200" t="s">
        <v>33</v>
      </c>
      <c r="T200" t="s">
        <v>46</v>
      </c>
      <c r="U200" t="s">
        <v>79</v>
      </c>
      <c r="V200" s="1" t="d">
        <v>2025-01-06</v>
      </c>
      <c r="W200" t="s">
        <v>48</v>
      </c>
      <c r="Y200" s="1" t="d">
        <f t="shared" si="9"/>
        <v>2024-11-18</v>
      </c>
      <c r="Z200">
        <f t="shared" si="10"/>
        <v>16</v>
      </c>
      <c r="AA200" t="str">
        <f t="shared" si="11"/>
        <v>No Discount</v>
      </c>
    </row>
    <row r="201" spans="1:27">
      <c r="A201" t="s">
        <v>886</v>
      </c>
      <c r="B201" s="1" t="d">
        <v>2024-11-22</v>
      </c>
      <c r="C201" t="s">
        <v>887</v>
      </c>
      <c r="D201" t="s">
        <v>25</v>
      </c>
      <c r="E201" t="s">
        <v>888</v>
      </c>
      <c r="F201" t="s">
        <v>71</v>
      </c>
      <c r="G201" t="s">
        <v>889</v>
      </c>
      <c r="H201">
        <v>999</v>
      </c>
      <c r="I201">
        <v>1</v>
      </c>
      <c r="J201">
        <v>999</v>
      </c>
      <c r="L201">
        <v>0</v>
      </c>
      <c r="M201" t="s">
        <v>64</v>
      </c>
      <c r="N201" t="s">
        <v>44</v>
      </c>
      <c r="O201" t="s">
        <v>31</v>
      </c>
      <c r="P201" t="s">
        <v>32</v>
      </c>
      <c r="Q201" t="s">
        <v>31</v>
      </c>
      <c r="R201" s="1" t="d">
        <v>2024-12-06</v>
      </c>
      <c r="S201" t="s">
        <v>33</v>
      </c>
      <c r="T201" t="s">
        <v>34</v>
      </c>
      <c r="W201" t="s">
        <v>35</v>
      </c>
      <c r="Y201" s="1" t="d">
        <f t="shared" si="9"/>
        <v>2024-11-18</v>
      </c>
      <c r="Z201">
        <f t="shared" si="10"/>
        <v>14</v>
      </c>
      <c r="AA201" t="str">
        <f t="shared" si="11"/>
        <v>No Discount</v>
      </c>
    </row>
    <row r="202" spans="1:27">
      <c r="A202" t="s">
        <v>890</v>
      </c>
      <c r="B202" s="1" t="d">
        <v>2024-11-22</v>
      </c>
      <c r="C202" t="s">
        <v>891</v>
      </c>
      <c r="D202" t="s">
        <v>25</v>
      </c>
      <c r="E202" t="s">
        <v>892</v>
      </c>
      <c r="F202" t="s">
        <v>27</v>
      </c>
      <c r="G202" t="s">
        <v>893</v>
      </c>
      <c r="H202">
        <v>1699</v>
      </c>
      <c r="I202">
        <v>1</v>
      </c>
      <c r="J202">
        <v>1699</v>
      </c>
      <c r="K202" s="2" t="d">
        <v>2015-11-01</v>
      </c>
      <c r="L202">
        <v>15</v>
      </c>
      <c r="M202" t="s">
        <v>29</v>
      </c>
      <c r="N202" t="s">
        <v>65</v>
      </c>
      <c r="O202" t="s">
        <v>45</v>
      </c>
      <c r="P202" t="s">
        <v>45</v>
      </c>
      <c r="Q202" t="s">
        <v>45</v>
      </c>
      <c r="R202" s="1" t="d">
        <v>2024-12-07</v>
      </c>
      <c r="S202" t="s">
        <v>33</v>
      </c>
      <c r="T202" t="s">
        <v>46</v>
      </c>
      <c r="U202" t="s">
        <v>138</v>
      </c>
      <c r="V202" s="1" t="d">
        <v>2025-01-05</v>
      </c>
      <c r="W202" t="s">
        <v>48</v>
      </c>
      <c r="Y202" s="1" t="d">
        <f t="shared" si="9"/>
        <v>2024-11-18</v>
      </c>
      <c r="Z202">
        <f t="shared" si="10"/>
        <v>15</v>
      </c>
      <c r="AA202" t="str">
        <f t="shared" si="11"/>
        <v>Low (1-20%)</v>
      </c>
    </row>
    <row r="203" spans="1:27">
      <c r="A203" t="s">
        <v>894</v>
      </c>
      <c r="B203" s="1" t="d">
        <v>2024-11-23</v>
      </c>
      <c r="C203" t="s">
        <v>895</v>
      </c>
      <c r="D203" t="s">
        <v>25</v>
      </c>
      <c r="E203" t="s">
        <v>896</v>
      </c>
      <c r="F203" t="s">
        <v>40</v>
      </c>
      <c r="G203" t="s">
        <v>897</v>
      </c>
      <c r="H203">
        <v>2799</v>
      </c>
      <c r="I203">
        <v>1</v>
      </c>
      <c r="J203">
        <v>2799</v>
      </c>
      <c r="L203">
        <v>0</v>
      </c>
      <c r="M203" t="s">
        <v>43</v>
      </c>
      <c r="N203" t="s">
        <v>30</v>
      </c>
      <c r="O203" t="s">
        <v>90</v>
      </c>
      <c r="P203" t="s">
        <v>91</v>
      </c>
      <c r="Q203" t="s">
        <v>45</v>
      </c>
      <c r="R203" s="1" t="d">
        <v>2024-12-09</v>
      </c>
      <c r="S203" t="s">
        <v>33</v>
      </c>
      <c r="T203" t="s">
        <v>34</v>
      </c>
      <c r="W203" t="s">
        <v>35</v>
      </c>
      <c r="Y203" s="1" t="d">
        <f t="shared" si="9"/>
        <v>2024-11-18</v>
      </c>
      <c r="Z203">
        <f t="shared" si="10"/>
        <v>16</v>
      </c>
      <c r="AA203" t="str">
        <f t="shared" si="11"/>
        <v>No Discount</v>
      </c>
    </row>
    <row r="204" spans="1:27">
      <c r="A204" t="s">
        <v>898</v>
      </c>
      <c r="B204" s="1" t="d">
        <v>2024-11-23</v>
      </c>
      <c r="C204" t="s">
        <v>899</v>
      </c>
      <c r="D204" t="s">
        <v>38</v>
      </c>
      <c r="E204" t="s">
        <v>900</v>
      </c>
      <c r="F204" t="s">
        <v>53</v>
      </c>
      <c r="G204" t="s">
        <v>901</v>
      </c>
      <c r="H204">
        <v>2399</v>
      </c>
      <c r="I204">
        <v>1</v>
      </c>
      <c r="J204">
        <v>2399</v>
      </c>
      <c r="L204">
        <v>0</v>
      </c>
      <c r="M204" t="s">
        <v>55</v>
      </c>
      <c r="N204" t="s">
        <v>44</v>
      </c>
      <c r="O204" t="s">
        <v>66</v>
      </c>
      <c r="P204" t="s">
        <v>67</v>
      </c>
      <c r="Q204" t="s">
        <v>56</v>
      </c>
      <c r="R204" s="1" t="d">
        <v>2024-12-07</v>
      </c>
      <c r="S204" t="s">
        <v>33</v>
      </c>
      <c r="T204" t="s">
        <v>46</v>
      </c>
      <c r="U204" t="s">
        <v>68</v>
      </c>
      <c r="V204" s="1" t="d">
        <v>2025-01-04</v>
      </c>
      <c r="W204" t="s">
        <v>48</v>
      </c>
      <c r="Y204" s="1" t="d">
        <f t="shared" si="9"/>
        <v>2024-11-18</v>
      </c>
      <c r="Z204">
        <f t="shared" si="10"/>
        <v>14</v>
      </c>
      <c r="AA204" t="str">
        <f t="shared" si="11"/>
        <v>No Discount</v>
      </c>
    </row>
    <row r="205" spans="1:27">
      <c r="A205" t="s">
        <v>902</v>
      </c>
      <c r="B205" s="1" t="d">
        <v>2024-11-23</v>
      </c>
      <c r="C205" t="s">
        <v>903</v>
      </c>
      <c r="D205" t="s">
        <v>25</v>
      </c>
      <c r="E205" t="s">
        <v>904</v>
      </c>
      <c r="F205" t="s">
        <v>61</v>
      </c>
      <c r="G205" t="s">
        <v>905</v>
      </c>
      <c r="H205">
        <v>6799</v>
      </c>
      <c r="I205">
        <v>1</v>
      </c>
      <c r="J205">
        <v>6799</v>
      </c>
      <c r="L205">
        <v>0</v>
      </c>
      <c r="M205" t="s">
        <v>29</v>
      </c>
      <c r="N205" t="s">
        <v>65</v>
      </c>
      <c r="O205" t="s">
        <v>77</v>
      </c>
      <c r="P205" t="s">
        <v>78</v>
      </c>
      <c r="Q205" t="s">
        <v>56</v>
      </c>
      <c r="R205" s="1" t="d">
        <v>2024-12-10</v>
      </c>
      <c r="S205" t="s">
        <v>33</v>
      </c>
      <c r="T205" t="s">
        <v>46</v>
      </c>
      <c r="U205" t="s">
        <v>47</v>
      </c>
      <c r="V205" s="1" t="d">
        <v>2025-01-08</v>
      </c>
      <c r="W205" t="s">
        <v>48</v>
      </c>
      <c r="Y205" s="1" t="d">
        <f t="shared" si="9"/>
        <v>2024-11-18</v>
      </c>
      <c r="Z205">
        <f t="shared" si="10"/>
        <v>17</v>
      </c>
      <c r="AA205" t="str">
        <f t="shared" si="11"/>
        <v>No Discount</v>
      </c>
    </row>
    <row r="206" spans="1:27">
      <c r="A206" t="s">
        <v>906</v>
      </c>
      <c r="B206" s="1" t="d">
        <v>2024-11-24</v>
      </c>
      <c r="C206" t="s">
        <v>907</v>
      </c>
      <c r="D206" t="s">
        <v>25</v>
      </c>
      <c r="E206" t="s">
        <v>908</v>
      </c>
      <c r="F206" t="s">
        <v>71</v>
      </c>
      <c r="G206" t="s">
        <v>909</v>
      </c>
      <c r="H206">
        <v>1499</v>
      </c>
      <c r="I206">
        <v>1</v>
      </c>
      <c r="J206">
        <v>1499</v>
      </c>
      <c r="K206" s="2" t="d">
        <v>2015-11-01</v>
      </c>
      <c r="L206">
        <v>15</v>
      </c>
      <c r="M206" t="s">
        <v>111</v>
      </c>
      <c r="N206" t="s">
        <v>30</v>
      </c>
      <c r="O206" t="s">
        <v>84</v>
      </c>
      <c r="P206" t="s">
        <v>32</v>
      </c>
      <c r="Q206" t="s">
        <v>31</v>
      </c>
      <c r="R206" s="1" t="d">
        <v>2024-12-08</v>
      </c>
      <c r="S206" t="s">
        <v>33</v>
      </c>
      <c r="T206" t="s">
        <v>34</v>
      </c>
      <c r="W206" t="s">
        <v>35</v>
      </c>
      <c r="Y206" s="1" t="d">
        <f t="shared" si="9"/>
        <v>2024-11-18</v>
      </c>
      <c r="Z206">
        <f t="shared" si="10"/>
        <v>14</v>
      </c>
      <c r="AA206" t="str">
        <f t="shared" si="11"/>
        <v>Low (1-20%)</v>
      </c>
    </row>
    <row r="207" spans="1:27">
      <c r="A207" t="s">
        <v>910</v>
      </c>
      <c r="B207" s="1" t="d">
        <v>2024-11-24</v>
      </c>
      <c r="C207" t="s">
        <v>911</v>
      </c>
      <c r="D207" t="s">
        <v>25</v>
      </c>
      <c r="E207" t="s">
        <v>912</v>
      </c>
      <c r="F207" t="s">
        <v>27</v>
      </c>
      <c r="G207" t="s">
        <v>913</v>
      </c>
      <c r="H207">
        <v>2299</v>
      </c>
      <c r="I207">
        <v>1</v>
      </c>
      <c r="J207">
        <v>2299</v>
      </c>
      <c r="L207">
        <v>0</v>
      </c>
      <c r="M207" t="s">
        <v>64</v>
      </c>
      <c r="N207" t="s">
        <v>44</v>
      </c>
      <c r="O207" t="s">
        <v>96</v>
      </c>
      <c r="P207" t="s">
        <v>97</v>
      </c>
      <c r="Q207" t="s">
        <v>31</v>
      </c>
      <c r="R207" s="1" t="d">
        <v>2024-12-09</v>
      </c>
      <c r="S207" t="s">
        <v>33</v>
      </c>
      <c r="T207" t="s">
        <v>46</v>
      </c>
      <c r="U207" t="s">
        <v>104</v>
      </c>
      <c r="V207" s="1" t="d">
        <v>2025-01-07</v>
      </c>
      <c r="W207" t="s">
        <v>48</v>
      </c>
      <c r="Y207" s="1" t="d">
        <f t="shared" si="9"/>
        <v>2024-11-18</v>
      </c>
      <c r="Z207">
        <f t="shared" si="10"/>
        <v>15</v>
      </c>
      <c r="AA207" t="str">
        <f t="shared" si="11"/>
        <v>No Discount</v>
      </c>
    </row>
    <row r="208" spans="1:27">
      <c r="A208" t="s">
        <v>914</v>
      </c>
      <c r="B208" s="1" t="d">
        <v>2024-11-24</v>
      </c>
      <c r="C208" t="s">
        <v>915</v>
      </c>
      <c r="D208" t="s">
        <v>25</v>
      </c>
      <c r="E208" t="s">
        <v>916</v>
      </c>
      <c r="F208" t="s">
        <v>40</v>
      </c>
      <c r="G208" t="s">
        <v>917</v>
      </c>
      <c r="H208">
        <v>4999</v>
      </c>
      <c r="I208">
        <v>1</v>
      </c>
      <c r="J208">
        <v>4999</v>
      </c>
      <c r="L208">
        <v>0</v>
      </c>
      <c r="M208" t="s">
        <v>43</v>
      </c>
      <c r="N208" t="s">
        <v>65</v>
      </c>
      <c r="O208" t="s">
        <v>102</v>
      </c>
      <c r="P208" t="s">
        <v>103</v>
      </c>
      <c r="Q208" t="s">
        <v>45</v>
      </c>
      <c r="R208" s="1" t="d">
        <v>2024-12-11</v>
      </c>
      <c r="S208" t="s">
        <v>33</v>
      </c>
      <c r="T208" t="s">
        <v>34</v>
      </c>
      <c r="W208" t="s">
        <v>35</v>
      </c>
      <c r="Y208" s="1" t="d">
        <f t="shared" si="9"/>
        <v>2024-11-18</v>
      </c>
      <c r="Z208">
        <f t="shared" si="10"/>
        <v>17</v>
      </c>
      <c r="AA208" t="str">
        <f t="shared" si="11"/>
        <v>No Discount</v>
      </c>
    </row>
    <row r="209" spans="1:27">
      <c r="A209" t="s">
        <v>918</v>
      </c>
      <c r="B209" s="1" t="d">
        <v>2024-11-25</v>
      </c>
      <c r="C209" t="s">
        <v>919</v>
      </c>
      <c r="D209" t="s">
        <v>38</v>
      </c>
      <c r="E209" t="s">
        <v>920</v>
      </c>
      <c r="F209" t="s">
        <v>53</v>
      </c>
      <c r="G209" t="s">
        <v>921</v>
      </c>
      <c r="H209">
        <v>2099</v>
      </c>
      <c r="I209">
        <v>1</v>
      </c>
      <c r="J209">
        <v>2099</v>
      </c>
      <c r="L209">
        <v>0</v>
      </c>
      <c r="M209" t="s">
        <v>29</v>
      </c>
      <c r="N209" t="s">
        <v>30</v>
      </c>
      <c r="O209" t="s">
        <v>112</v>
      </c>
      <c r="P209" t="s">
        <v>113</v>
      </c>
      <c r="Q209" t="s">
        <v>45</v>
      </c>
      <c r="R209" s="1" t="d">
        <v>2024-12-09</v>
      </c>
      <c r="S209" t="s">
        <v>33</v>
      </c>
      <c r="T209" t="s">
        <v>46</v>
      </c>
      <c r="U209" t="s">
        <v>79</v>
      </c>
      <c r="V209" s="1" t="d">
        <v>2025-01-06</v>
      </c>
      <c r="W209" t="s">
        <v>48</v>
      </c>
      <c r="Y209" s="1" t="d">
        <f t="shared" si="9"/>
        <v>2024-11-25</v>
      </c>
      <c r="Z209">
        <f t="shared" si="10"/>
        <v>14</v>
      </c>
      <c r="AA209" t="str">
        <f t="shared" si="11"/>
        <v>No Discount</v>
      </c>
    </row>
    <row r="210" spans="1:27">
      <c r="A210" t="s">
        <v>922</v>
      </c>
      <c r="B210" s="1" t="d">
        <v>2024-11-25</v>
      </c>
      <c r="C210" t="s">
        <v>923</v>
      </c>
      <c r="D210" t="s">
        <v>25</v>
      </c>
      <c r="E210" t="s">
        <v>924</v>
      </c>
      <c r="F210" t="s">
        <v>61</v>
      </c>
      <c r="G210" t="s">
        <v>925</v>
      </c>
      <c r="H210">
        <v>5799</v>
      </c>
      <c r="I210">
        <v>1</v>
      </c>
      <c r="J210">
        <v>5799</v>
      </c>
      <c r="K210" s="2" t="d">
        <v>2015-11-01</v>
      </c>
      <c r="L210">
        <v>15</v>
      </c>
      <c r="M210" t="s">
        <v>55</v>
      </c>
      <c r="N210" t="s">
        <v>44</v>
      </c>
      <c r="O210" t="s">
        <v>56</v>
      </c>
      <c r="P210" t="s">
        <v>57</v>
      </c>
      <c r="Q210" t="s">
        <v>56</v>
      </c>
      <c r="R210" s="1" t="d">
        <v>2024-12-12</v>
      </c>
      <c r="S210" t="s">
        <v>33</v>
      </c>
      <c r="T210" t="s">
        <v>46</v>
      </c>
      <c r="U210" t="s">
        <v>47</v>
      </c>
      <c r="V210" s="1" t="d">
        <v>2025-01-10</v>
      </c>
      <c r="W210" t="s">
        <v>48</v>
      </c>
      <c r="Y210" s="1" t="d">
        <f t="shared" si="9"/>
        <v>2024-11-25</v>
      </c>
      <c r="Z210">
        <f t="shared" si="10"/>
        <v>17</v>
      </c>
      <c r="AA210" t="str">
        <f t="shared" si="11"/>
        <v>Low (1-20%)</v>
      </c>
    </row>
    <row r="211" spans="1:27">
      <c r="A211" t="s">
        <v>926</v>
      </c>
      <c r="B211" s="1" t="d">
        <v>2024-11-25</v>
      </c>
      <c r="C211" t="s">
        <v>927</v>
      </c>
      <c r="D211" t="s">
        <v>25</v>
      </c>
      <c r="E211" t="s">
        <v>928</v>
      </c>
      <c r="F211" t="s">
        <v>71</v>
      </c>
      <c r="G211" t="s">
        <v>929</v>
      </c>
      <c r="H211">
        <v>1199</v>
      </c>
      <c r="I211">
        <v>1</v>
      </c>
      <c r="J211">
        <v>1199</v>
      </c>
      <c r="L211">
        <v>0</v>
      </c>
      <c r="M211" t="s">
        <v>43</v>
      </c>
      <c r="N211" t="s">
        <v>65</v>
      </c>
      <c r="O211" t="s">
        <v>31</v>
      </c>
      <c r="P211" t="s">
        <v>32</v>
      </c>
      <c r="Q211" t="s">
        <v>31</v>
      </c>
      <c r="R211" s="1" t="d">
        <v>2024-12-10</v>
      </c>
      <c r="S211" t="s">
        <v>33</v>
      </c>
      <c r="T211" t="s">
        <v>34</v>
      </c>
      <c r="W211" t="s">
        <v>35</v>
      </c>
      <c r="Y211" s="1" t="d">
        <f t="shared" si="9"/>
        <v>2024-11-25</v>
      </c>
      <c r="Z211">
        <f t="shared" si="10"/>
        <v>15</v>
      </c>
      <c r="AA211" t="str">
        <f t="shared" si="11"/>
        <v>No Discount</v>
      </c>
    </row>
    <row r="212" spans="1:27">
      <c r="A212" t="s">
        <v>930</v>
      </c>
      <c r="B212" s="1" t="d">
        <v>2024-11-26</v>
      </c>
      <c r="C212" t="s">
        <v>931</v>
      </c>
      <c r="D212" t="s">
        <v>25</v>
      </c>
      <c r="E212" t="s">
        <v>932</v>
      </c>
      <c r="F212" t="s">
        <v>27</v>
      </c>
      <c r="G212" t="s">
        <v>933</v>
      </c>
      <c r="H212">
        <v>1899</v>
      </c>
      <c r="I212">
        <v>1</v>
      </c>
      <c r="J212">
        <v>1899</v>
      </c>
      <c r="L212">
        <v>0</v>
      </c>
      <c r="M212" t="s">
        <v>111</v>
      </c>
      <c r="N212" t="s">
        <v>30</v>
      </c>
      <c r="O212" t="s">
        <v>45</v>
      </c>
      <c r="P212" t="s">
        <v>45</v>
      </c>
      <c r="Q212" t="s">
        <v>45</v>
      </c>
      <c r="R212" s="1" t="d">
        <v>2024-12-11</v>
      </c>
      <c r="S212" t="s">
        <v>33</v>
      </c>
      <c r="T212" t="s">
        <v>46</v>
      </c>
      <c r="U212" t="s">
        <v>138</v>
      </c>
      <c r="V212" s="1" t="d">
        <v>2025-01-08</v>
      </c>
      <c r="W212" t="s">
        <v>48</v>
      </c>
      <c r="Y212" s="1" t="d">
        <f t="shared" si="9"/>
        <v>2024-11-25</v>
      </c>
      <c r="Z212">
        <f t="shared" si="10"/>
        <v>15</v>
      </c>
      <c r="AA212" t="str">
        <f t="shared" si="11"/>
        <v>No Discount</v>
      </c>
    </row>
    <row r="213" spans="1:27">
      <c r="A213" t="s">
        <v>934</v>
      </c>
      <c r="B213" s="1" t="d">
        <v>2024-11-26</v>
      </c>
      <c r="C213" t="s">
        <v>935</v>
      </c>
      <c r="D213" t="s">
        <v>25</v>
      </c>
      <c r="E213" t="s">
        <v>936</v>
      </c>
      <c r="F213" t="s">
        <v>40</v>
      </c>
      <c r="G213" t="s">
        <v>937</v>
      </c>
      <c r="H213">
        <v>3699</v>
      </c>
      <c r="I213">
        <v>1</v>
      </c>
      <c r="J213">
        <v>3699</v>
      </c>
      <c r="L213">
        <v>0</v>
      </c>
      <c r="M213" t="s">
        <v>64</v>
      </c>
      <c r="N213" t="s">
        <v>44</v>
      </c>
      <c r="O213" t="s">
        <v>118</v>
      </c>
      <c r="P213" t="s">
        <v>119</v>
      </c>
      <c r="Q213" t="s">
        <v>45</v>
      </c>
      <c r="R213" s="1" t="d">
        <v>2024-12-13</v>
      </c>
      <c r="S213" t="s">
        <v>33</v>
      </c>
      <c r="T213" t="s">
        <v>34</v>
      </c>
      <c r="W213" t="s">
        <v>35</v>
      </c>
      <c r="Y213" s="1" t="d">
        <f t="shared" si="9"/>
        <v>2024-11-25</v>
      </c>
      <c r="Z213">
        <f t="shared" si="10"/>
        <v>17</v>
      </c>
      <c r="AA213" t="str">
        <f t="shared" si="11"/>
        <v>No Discount</v>
      </c>
    </row>
    <row r="214" spans="1:27">
      <c r="A214" t="s">
        <v>938</v>
      </c>
      <c r="B214" s="1" t="d">
        <v>2024-11-26</v>
      </c>
      <c r="C214" t="s">
        <v>939</v>
      </c>
      <c r="D214" t="s">
        <v>38</v>
      </c>
      <c r="E214" t="s">
        <v>940</v>
      </c>
      <c r="F214" t="s">
        <v>53</v>
      </c>
      <c r="G214" t="s">
        <v>941</v>
      </c>
      <c r="H214">
        <v>2699</v>
      </c>
      <c r="I214">
        <v>1</v>
      </c>
      <c r="J214">
        <v>2699</v>
      </c>
      <c r="K214" s="2" t="d">
        <v>2015-11-01</v>
      </c>
      <c r="L214">
        <v>15</v>
      </c>
      <c r="M214" t="s">
        <v>29</v>
      </c>
      <c r="N214" t="s">
        <v>65</v>
      </c>
      <c r="O214" t="s">
        <v>137</v>
      </c>
      <c r="P214" t="s">
        <v>113</v>
      </c>
      <c r="Q214" t="s">
        <v>45</v>
      </c>
      <c r="R214" s="1" t="d">
        <v>2024-12-11</v>
      </c>
      <c r="S214" t="s">
        <v>33</v>
      </c>
      <c r="T214" t="s">
        <v>46</v>
      </c>
      <c r="U214" t="s">
        <v>68</v>
      </c>
      <c r="V214" s="1" t="d">
        <v>2025-01-09</v>
      </c>
      <c r="W214" t="s">
        <v>48</v>
      </c>
      <c r="Y214" s="1" t="d">
        <f t="shared" si="9"/>
        <v>2024-11-25</v>
      </c>
      <c r="Z214">
        <f t="shared" si="10"/>
        <v>15</v>
      </c>
      <c r="AA214" t="str">
        <f t="shared" si="11"/>
        <v>Low (1-20%)</v>
      </c>
    </row>
    <row r="215" spans="1:27">
      <c r="A215" t="s">
        <v>942</v>
      </c>
      <c r="B215" s="1" t="d">
        <v>2024-11-27</v>
      </c>
      <c r="C215" t="s">
        <v>943</v>
      </c>
      <c r="D215" t="s">
        <v>25</v>
      </c>
      <c r="E215" t="s">
        <v>944</v>
      </c>
      <c r="F215" t="s">
        <v>61</v>
      </c>
      <c r="G215" t="s">
        <v>945</v>
      </c>
      <c r="H215">
        <v>4999</v>
      </c>
      <c r="I215">
        <v>1</v>
      </c>
      <c r="J215">
        <v>4999</v>
      </c>
      <c r="L215">
        <v>0</v>
      </c>
      <c r="M215" t="s">
        <v>43</v>
      </c>
      <c r="N215" t="s">
        <v>30</v>
      </c>
      <c r="O215" t="s">
        <v>143</v>
      </c>
      <c r="P215" t="s">
        <v>144</v>
      </c>
      <c r="Q215" t="s">
        <v>45</v>
      </c>
      <c r="R215" s="1" t="d">
        <v>2024-12-14</v>
      </c>
      <c r="S215" t="s">
        <v>33</v>
      </c>
      <c r="T215" t="s">
        <v>46</v>
      </c>
      <c r="U215" t="s">
        <v>47</v>
      </c>
      <c r="V215" s="1" t="d">
        <v>2025-01-12</v>
      </c>
      <c r="W215" t="s">
        <v>48</v>
      </c>
      <c r="Y215" s="1" t="d">
        <f t="shared" si="9"/>
        <v>2024-11-25</v>
      </c>
      <c r="Z215">
        <f t="shared" si="10"/>
        <v>17</v>
      </c>
      <c r="AA215" t="str">
        <f t="shared" si="11"/>
        <v>No Discount</v>
      </c>
    </row>
    <row r="216" spans="1:27">
      <c r="A216" t="s">
        <v>946</v>
      </c>
      <c r="B216" s="1" t="d">
        <v>2024-11-27</v>
      </c>
      <c r="C216" t="s">
        <v>947</v>
      </c>
      <c r="D216" t="s">
        <v>25</v>
      </c>
      <c r="E216" t="s">
        <v>948</v>
      </c>
      <c r="F216" t="s">
        <v>71</v>
      </c>
      <c r="G216" t="s">
        <v>949</v>
      </c>
      <c r="H216">
        <v>899</v>
      </c>
      <c r="I216">
        <v>2</v>
      </c>
      <c r="J216">
        <v>1798</v>
      </c>
      <c r="L216">
        <v>0</v>
      </c>
      <c r="M216" t="s">
        <v>55</v>
      </c>
      <c r="N216" t="s">
        <v>44</v>
      </c>
      <c r="O216" t="s">
        <v>150</v>
      </c>
      <c r="P216" t="s">
        <v>151</v>
      </c>
      <c r="Q216" t="s">
        <v>31</v>
      </c>
      <c r="R216" s="1" t="d">
        <v>2024-12-12</v>
      </c>
      <c r="S216" t="s">
        <v>33</v>
      </c>
      <c r="T216" t="s">
        <v>34</v>
      </c>
      <c r="W216" t="s">
        <v>35</v>
      </c>
      <c r="Y216" s="1" t="d">
        <f t="shared" si="9"/>
        <v>2024-11-25</v>
      </c>
      <c r="Z216">
        <f t="shared" si="10"/>
        <v>15</v>
      </c>
      <c r="AA216" t="str">
        <f t="shared" si="11"/>
        <v>No Discount</v>
      </c>
    </row>
    <row r="217" spans="1:27">
      <c r="A217" t="s">
        <v>950</v>
      </c>
      <c r="B217" s="1" t="d">
        <v>2024-11-27</v>
      </c>
      <c r="C217" t="s">
        <v>951</v>
      </c>
      <c r="D217" t="s">
        <v>25</v>
      </c>
      <c r="E217" t="s">
        <v>952</v>
      </c>
      <c r="F217" t="s">
        <v>27</v>
      </c>
      <c r="G217" t="s">
        <v>953</v>
      </c>
      <c r="H217">
        <v>1599</v>
      </c>
      <c r="I217">
        <v>1</v>
      </c>
      <c r="J217">
        <v>1599</v>
      </c>
      <c r="L217">
        <v>0</v>
      </c>
      <c r="M217" t="s">
        <v>29</v>
      </c>
      <c r="N217" t="s">
        <v>65</v>
      </c>
      <c r="O217" t="s">
        <v>156</v>
      </c>
      <c r="P217" t="s">
        <v>97</v>
      </c>
      <c r="Q217" t="s">
        <v>31</v>
      </c>
      <c r="R217" s="1" t="d">
        <v>2024-12-13</v>
      </c>
      <c r="S217" t="s">
        <v>33</v>
      </c>
      <c r="T217" t="s">
        <v>46</v>
      </c>
      <c r="U217" t="s">
        <v>104</v>
      </c>
      <c r="V217" s="1" t="d">
        <v>2025-01-10</v>
      </c>
      <c r="W217" t="s">
        <v>48</v>
      </c>
      <c r="Y217" s="1" t="d">
        <f t="shared" si="9"/>
        <v>2024-11-25</v>
      </c>
      <c r="Z217">
        <f t="shared" si="10"/>
        <v>16</v>
      </c>
      <c r="AA217" t="str">
        <f t="shared" si="11"/>
        <v>No Discount</v>
      </c>
    </row>
    <row r="218" spans="1:27">
      <c r="A218" t="s">
        <v>954</v>
      </c>
      <c r="B218" s="1" t="d">
        <v>2024-11-28</v>
      </c>
      <c r="C218" t="s">
        <v>955</v>
      </c>
      <c r="D218" t="s">
        <v>25</v>
      </c>
      <c r="E218" t="s">
        <v>956</v>
      </c>
      <c r="F218" t="s">
        <v>40</v>
      </c>
      <c r="G218" t="s">
        <v>957</v>
      </c>
      <c r="H218">
        <v>2599</v>
      </c>
      <c r="I218">
        <v>1</v>
      </c>
      <c r="J218">
        <v>2599</v>
      </c>
      <c r="K218" s="2" t="d">
        <v>2015-11-01</v>
      </c>
      <c r="L218">
        <v>15</v>
      </c>
      <c r="M218" t="s">
        <v>111</v>
      </c>
      <c r="N218" t="s">
        <v>30</v>
      </c>
      <c r="O218" t="s">
        <v>161</v>
      </c>
      <c r="P218" t="s">
        <v>162</v>
      </c>
      <c r="Q218" t="s">
        <v>45</v>
      </c>
      <c r="R218" s="1" t="d">
        <v>2024-12-15</v>
      </c>
      <c r="S218" t="s">
        <v>33</v>
      </c>
      <c r="T218" t="s">
        <v>34</v>
      </c>
      <c r="W218" t="s">
        <v>35</v>
      </c>
      <c r="Y218" s="1" t="d">
        <f t="shared" si="9"/>
        <v>2024-11-25</v>
      </c>
      <c r="Z218">
        <f t="shared" si="10"/>
        <v>17</v>
      </c>
      <c r="AA218" t="str">
        <f t="shared" si="11"/>
        <v>Low (1-20%)</v>
      </c>
    </row>
    <row r="219" spans="1:27">
      <c r="A219" t="s">
        <v>958</v>
      </c>
      <c r="B219" s="1" t="d">
        <v>2024-11-28</v>
      </c>
      <c r="C219" t="s">
        <v>959</v>
      </c>
      <c r="D219" t="s">
        <v>38</v>
      </c>
      <c r="E219" t="s">
        <v>960</v>
      </c>
      <c r="F219" t="s">
        <v>53</v>
      </c>
      <c r="G219" t="s">
        <v>961</v>
      </c>
      <c r="H219">
        <v>2399</v>
      </c>
      <c r="I219">
        <v>1</v>
      </c>
      <c r="J219">
        <v>2399</v>
      </c>
      <c r="L219">
        <v>0</v>
      </c>
      <c r="M219" t="s">
        <v>64</v>
      </c>
      <c r="N219" t="s">
        <v>44</v>
      </c>
      <c r="O219" t="s">
        <v>167</v>
      </c>
      <c r="P219" t="s">
        <v>151</v>
      </c>
      <c r="Q219" t="s">
        <v>31</v>
      </c>
      <c r="R219" s="1" t="d">
        <v>2024-12-13</v>
      </c>
      <c r="S219" t="s">
        <v>33</v>
      </c>
      <c r="T219" t="s">
        <v>46</v>
      </c>
      <c r="U219" t="s">
        <v>79</v>
      </c>
      <c r="V219" s="1" t="d">
        <v>2025-01-11</v>
      </c>
      <c r="W219" t="s">
        <v>48</v>
      </c>
      <c r="Y219" s="1" t="d">
        <f t="shared" si="9"/>
        <v>2024-11-25</v>
      </c>
      <c r="Z219">
        <f t="shared" si="10"/>
        <v>15</v>
      </c>
      <c r="AA219" t="str">
        <f t="shared" si="11"/>
        <v>No Discount</v>
      </c>
    </row>
    <row r="220" spans="1:27">
      <c r="A220" t="s">
        <v>962</v>
      </c>
      <c r="B220" s="1" t="d">
        <v>2024-11-28</v>
      </c>
      <c r="C220" t="s">
        <v>963</v>
      </c>
      <c r="D220" t="s">
        <v>25</v>
      </c>
      <c r="E220" t="s">
        <v>964</v>
      </c>
      <c r="F220" t="s">
        <v>61</v>
      </c>
      <c r="G220" t="s">
        <v>965</v>
      </c>
      <c r="H220">
        <v>6499</v>
      </c>
      <c r="I220">
        <v>1</v>
      </c>
      <c r="J220">
        <v>6499</v>
      </c>
      <c r="L220">
        <v>0</v>
      </c>
      <c r="M220" t="s">
        <v>43</v>
      </c>
      <c r="N220" t="s">
        <v>65</v>
      </c>
      <c r="O220" t="s">
        <v>172</v>
      </c>
      <c r="P220" t="s">
        <v>32</v>
      </c>
      <c r="Q220" t="s">
        <v>31</v>
      </c>
      <c r="R220" s="1" t="d">
        <v>2024-12-16</v>
      </c>
      <c r="S220" t="s">
        <v>33</v>
      </c>
      <c r="T220" t="s">
        <v>46</v>
      </c>
      <c r="U220" t="s">
        <v>47</v>
      </c>
      <c r="V220" s="1" t="d">
        <v>2025-01-14</v>
      </c>
      <c r="W220" t="s">
        <v>48</v>
      </c>
      <c r="Y220" s="1" t="d">
        <f t="shared" si="9"/>
        <v>2024-11-25</v>
      </c>
      <c r="Z220">
        <f t="shared" si="10"/>
        <v>18</v>
      </c>
      <c r="AA220" t="str">
        <f t="shared" si="11"/>
        <v>No Discount</v>
      </c>
    </row>
    <row r="221" spans="1:27">
      <c r="A221" t="s">
        <v>966</v>
      </c>
      <c r="B221" s="1" t="d">
        <v>2024-11-29</v>
      </c>
      <c r="C221" t="s">
        <v>967</v>
      </c>
      <c r="D221" t="s">
        <v>25</v>
      </c>
      <c r="E221" t="s">
        <v>968</v>
      </c>
      <c r="F221" t="s">
        <v>71</v>
      </c>
      <c r="G221" t="s">
        <v>969</v>
      </c>
      <c r="H221">
        <v>499</v>
      </c>
      <c r="I221">
        <v>2</v>
      </c>
      <c r="J221">
        <v>998</v>
      </c>
      <c r="L221">
        <v>0</v>
      </c>
      <c r="M221" t="s">
        <v>29</v>
      </c>
      <c r="N221" t="s">
        <v>30</v>
      </c>
      <c r="O221" t="s">
        <v>177</v>
      </c>
      <c r="P221" t="s">
        <v>67</v>
      </c>
      <c r="Q221" t="s">
        <v>56</v>
      </c>
      <c r="R221" s="1" t="d">
        <v>2024-12-14</v>
      </c>
      <c r="S221" t="s">
        <v>33</v>
      </c>
      <c r="T221" t="s">
        <v>34</v>
      </c>
      <c r="W221" t="s">
        <v>35</v>
      </c>
      <c r="Y221" s="1" t="d">
        <f t="shared" si="9"/>
        <v>2024-11-25</v>
      </c>
      <c r="Z221">
        <f t="shared" si="10"/>
        <v>15</v>
      </c>
      <c r="AA221" t="str">
        <f t="shared" si="11"/>
        <v>No Discount</v>
      </c>
    </row>
    <row r="222" spans="1:27">
      <c r="A222" t="s">
        <v>970</v>
      </c>
      <c r="B222" s="1" t="d">
        <v>2024-11-29</v>
      </c>
      <c r="C222" t="s">
        <v>971</v>
      </c>
      <c r="D222" t="s">
        <v>25</v>
      </c>
      <c r="E222" t="s">
        <v>972</v>
      </c>
      <c r="F222" t="s">
        <v>27</v>
      </c>
      <c r="G222" t="s">
        <v>973</v>
      </c>
      <c r="H222">
        <v>1999</v>
      </c>
      <c r="I222">
        <v>1</v>
      </c>
      <c r="J222">
        <v>1999</v>
      </c>
      <c r="L222">
        <v>0</v>
      </c>
      <c r="M222" t="s">
        <v>55</v>
      </c>
      <c r="N222" t="s">
        <v>44</v>
      </c>
      <c r="O222" t="s">
        <v>182</v>
      </c>
      <c r="P222" t="s">
        <v>183</v>
      </c>
      <c r="Q222" t="s">
        <v>56</v>
      </c>
      <c r="S222" t="s">
        <v>120</v>
      </c>
      <c r="T222" t="s">
        <v>34</v>
      </c>
      <c r="W222" t="s">
        <v>35</v>
      </c>
      <c r="Y222" s="1" t="d">
        <f t="shared" si="9"/>
        <v>2024-11-25</v>
      </c>
      <c r="Z222" t="str">
        <f t="shared" si="10"/>
        <v/>
      </c>
      <c r="AA222" t="str">
        <f t="shared" si="11"/>
        <v>No Discount</v>
      </c>
    </row>
    <row r="223" spans="1:27">
      <c r="A223" t="s">
        <v>974</v>
      </c>
      <c r="B223" s="1" t="d">
        <v>2024-11-29</v>
      </c>
      <c r="C223" t="s">
        <v>975</v>
      </c>
      <c r="D223" t="s">
        <v>25</v>
      </c>
      <c r="E223" t="s">
        <v>976</v>
      </c>
      <c r="F223" t="s">
        <v>40</v>
      </c>
      <c r="G223" t="s">
        <v>977</v>
      </c>
      <c r="H223">
        <v>5499</v>
      </c>
      <c r="I223">
        <v>1</v>
      </c>
      <c r="J223">
        <v>5499</v>
      </c>
      <c r="K223" s="2" t="d">
        <v>2015-11-01</v>
      </c>
      <c r="L223">
        <v>15</v>
      </c>
      <c r="M223" t="s">
        <v>43</v>
      </c>
      <c r="N223" t="s">
        <v>65</v>
      </c>
      <c r="O223" t="s">
        <v>188</v>
      </c>
      <c r="P223" t="s">
        <v>189</v>
      </c>
      <c r="Q223" t="s">
        <v>56</v>
      </c>
      <c r="R223" s="1" t="d">
        <v>2024-12-17</v>
      </c>
      <c r="S223" t="s">
        <v>33</v>
      </c>
      <c r="T223" t="s">
        <v>46</v>
      </c>
      <c r="U223" t="s">
        <v>68</v>
      </c>
      <c r="V223" s="1" t="d">
        <v>2025-01-15</v>
      </c>
      <c r="W223" t="s">
        <v>48</v>
      </c>
      <c r="Y223" s="1" t="d">
        <f t="shared" si="9"/>
        <v>2024-11-25</v>
      </c>
      <c r="Z223">
        <f t="shared" si="10"/>
        <v>18</v>
      </c>
      <c r="AA223" t="str">
        <f t="shared" si="11"/>
        <v>Low (1-20%)</v>
      </c>
    </row>
    <row r="224" spans="1:27">
      <c r="A224" t="s">
        <v>978</v>
      </c>
      <c r="B224" s="1" t="d">
        <v>2024-11-30</v>
      </c>
      <c r="C224" t="s">
        <v>979</v>
      </c>
      <c r="D224" t="s">
        <v>38</v>
      </c>
      <c r="E224" t="s">
        <v>980</v>
      </c>
      <c r="F224" t="s">
        <v>53</v>
      </c>
      <c r="G224" t="s">
        <v>981</v>
      </c>
      <c r="H224">
        <v>2799</v>
      </c>
      <c r="I224">
        <v>1</v>
      </c>
      <c r="J224">
        <v>2799</v>
      </c>
      <c r="L224">
        <v>0</v>
      </c>
      <c r="M224" t="s">
        <v>111</v>
      </c>
      <c r="N224" t="s">
        <v>30</v>
      </c>
      <c r="O224" t="s">
        <v>194</v>
      </c>
      <c r="P224" t="s">
        <v>183</v>
      </c>
      <c r="Q224" t="s">
        <v>56</v>
      </c>
      <c r="R224" s="1" t="d">
        <v>2024-12-15</v>
      </c>
      <c r="S224" t="s">
        <v>33</v>
      </c>
      <c r="T224" t="s">
        <v>34</v>
      </c>
      <c r="W224" t="s">
        <v>35</v>
      </c>
      <c r="Y224" s="1" t="d">
        <f t="shared" si="9"/>
        <v>2024-11-25</v>
      </c>
      <c r="Z224">
        <f t="shared" si="10"/>
        <v>15</v>
      </c>
      <c r="AA224" t="str">
        <f t="shared" si="11"/>
        <v>No Discount</v>
      </c>
    </row>
    <row r="225" spans="1:27">
      <c r="A225" t="s">
        <v>982</v>
      </c>
      <c r="B225" s="1" t="d">
        <v>2024-11-30</v>
      </c>
      <c r="C225" t="s">
        <v>983</v>
      </c>
      <c r="D225" t="s">
        <v>25</v>
      </c>
      <c r="E225" t="s">
        <v>984</v>
      </c>
      <c r="F225" t="s">
        <v>61</v>
      </c>
      <c r="G225" t="s">
        <v>985</v>
      </c>
      <c r="H225">
        <v>5299</v>
      </c>
      <c r="I225">
        <v>1</v>
      </c>
      <c r="J225">
        <v>5299</v>
      </c>
      <c r="L225">
        <v>0</v>
      </c>
      <c r="M225" t="s">
        <v>64</v>
      </c>
      <c r="N225" t="s">
        <v>44</v>
      </c>
      <c r="O225" t="s">
        <v>199</v>
      </c>
      <c r="P225" t="s">
        <v>57</v>
      </c>
      <c r="Q225" t="s">
        <v>56</v>
      </c>
      <c r="R225" s="1" t="d">
        <v>2024-12-18</v>
      </c>
      <c r="S225" t="s">
        <v>33</v>
      </c>
      <c r="T225" t="s">
        <v>46</v>
      </c>
      <c r="U225" t="s">
        <v>138</v>
      </c>
      <c r="V225" s="1" t="d">
        <v>2025-01-16</v>
      </c>
      <c r="W225" t="s">
        <v>48</v>
      </c>
      <c r="Y225" s="1" t="d">
        <f t="shared" si="9"/>
        <v>2024-11-25</v>
      </c>
      <c r="Z225">
        <f t="shared" si="10"/>
        <v>18</v>
      </c>
      <c r="AA225" t="str">
        <f t="shared" si="11"/>
        <v>No Discount</v>
      </c>
    </row>
    <row r="226" spans="1:27">
      <c r="A226" t="s">
        <v>986</v>
      </c>
      <c r="B226" s="1" t="d">
        <v>2024-11-30</v>
      </c>
      <c r="C226" t="s">
        <v>987</v>
      </c>
      <c r="D226" t="s">
        <v>25</v>
      </c>
      <c r="E226" t="s">
        <v>988</v>
      </c>
      <c r="F226" t="s">
        <v>71</v>
      </c>
      <c r="G226" t="s">
        <v>989</v>
      </c>
      <c r="H226">
        <v>1099</v>
      </c>
      <c r="I226">
        <v>1</v>
      </c>
      <c r="J226">
        <v>1099</v>
      </c>
      <c r="L226">
        <v>0</v>
      </c>
      <c r="M226" t="s">
        <v>29</v>
      </c>
      <c r="N226" t="s">
        <v>65</v>
      </c>
      <c r="O226" t="s">
        <v>204</v>
      </c>
      <c r="P226" t="s">
        <v>97</v>
      </c>
      <c r="Q226" t="s">
        <v>31</v>
      </c>
      <c r="R226" s="1" t="d">
        <v>2024-12-16</v>
      </c>
      <c r="S226" t="s">
        <v>33</v>
      </c>
      <c r="T226" t="s">
        <v>46</v>
      </c>
      <c r="U226" t="s">
        <v>47</v>
      </c>
      <c r="V226" s="1" t="d">
        <v>2025-01-14</v>
      </c>
      <c r="W226" t="s">
        <v>48</v>
      </c>
      <c r="Y226" s="1" t="d">
        <f t="shared" si="9"/>
        <v>2024-11-25</v>
      </c>
      <c r="Z226">
        <f t="shared" si="10"/>
        <v>16</v>
      </c>
      <c r="AA226" t="str">
        <f t="shared" si="11"/>
        <v>No Discount</v>
      </c>
    </row>
    <row r="227" spans="1:27">
      <c r="A227" t="s">
        <v>990</v>
      </c>
      <c r="B227" s="1" t="d">
        <v>2024-12-01</v>
      </c>
      <c r="C227" t="s">
        <v>991</v>
      </c>
      <c r="D227" t="s">
        <v>25</v>
      </c>
      <c r="E227" t="s">
        <v>992</v>
      </c>
      <c r="F227" t="s">
        <v>27</v>
      </c>
      <c r="G227" t="s">
        <v>993</v>
      </c>
      <c r="H227">
        <v>2499</v>
      </c>
      <c r="I227">
        <v>1</v>
      </c>
      <c r="J227">
        <v>2499</v>
      </c>
      <c r="K227" s="2" t="d">
        <v>2020-12-01</v>
      </c>
      <c r="L227">
        <v>20</v>
      </c>
      <c r="M227" t="s">
        <v>43</v>
      </c>
      <c r="N227" t="s">
        <v>30</v>
      </c>
      <c r="O227" t="s">
        <v>31</v>
      </c>
      <c r="P227" t="s">
        <v>32</v>
      </c>
      <c r="Q227" t="s">
        <v>31</v>
      </c>
      <c r="R227" s="1" t="d">
        <v>2024-12-06</v>
      </c>
      <c r="S227" t="s">
        <v>33</v>
      </c>
      <c r="T227" t="s">
        <v>34</v>
      </c>
      <c r="W227" t="s">
        <v>35</v>
      </c>
      <c r="Y227" s="1" t="d">
        <f t="shared" si="9"/>
        <v>2024-11-25</v>
      </c>
      <c r="Z227">
        <f t="shared" si="10"/>
        <v>5</v>
      </c>
      <c r="AA227" t="str">
        <f t="shared" si="11"/>
        <v>Low (1-20%)</v>
      </c>
    </row>
    <row r="228" spans="1:27">
      <c r="A228" t="s">
        <v>994</v>
      </c>
      <c r="B228" s="1" t="d">
        <v>2024-12-01</v>
      </c>
      <c r="C228" t="s">
        <v>995</v>
      </c>
      <c r="D228" t="s">
        <v>25</v>
      </c>
      <c r="E228" t="s">
        <v>996</v>
      </c>
      <c r="F228" t="s">
        <v>61</v>
      </c>
      <c r="G228" t="s">
        <v>997</v>
      </c>
      <c r="H228">
        <v>6499</v>
      </c>
      <c r="I228">
        <v>1</v>
      </c>
      <c r="J228">
        <v>6499</v>
      </c>
      <c r="K228" s="2" t="d">
        <v>2020-12-01</v>
      </c>
      <c r="L228">
        <v>20</v>
      </c>
      <c r="M228" t="s">
        <v>55</v>
      </c>
      <c r="N228" t="s">
        <v>44</v>
      </c>
      <c r="O228" t="s">
        <v>45</v>
      </c>
      <c r="P228" t="s">
        <v>45</v>
      </c>
      <c r="Q228" t="s">
        <v>45</v>
      </c>
      <c r="R228" s="1" t="d">
        <v>2024-12-08</v>
      </c>
      <c r="S228" t="s">
        <v>33</v>
      </c>
      <c r="T228" t="s">
        <v>46</v>
      </c>
      <c r="U228" t="s">
        <v>79</v>
      </c>
      <c r="V228" s="1" t="d">
        <v>2024-12-28</v>
      </c>
      <c r="W228" t="s">
        <v>105</v>
      </c>
      <c r="Y228" s="1" t="d">
        <f t="shared" si="9"/>
        <v>2024-11-25</v>
      </c>
      <c r="Z228">
        <f t="shared" si="10"/>
        <v>7</v>
      </c>
      <c r="AA228" t="str">
        <f t="shared" si="11"/>
        <v>Low (1-20%)</v>
      </c>
    </row>
    <row r="229" spans="1:27">
      <c r="A229" t="s">
        <v>998</v>
      </c>
      <c r="B229" s="1" t="d">
        <v>2024-12-01</v>
      </c>
      <c r="C229" t="s">
        <v>999</v>
      </c>
      <c r="D229" t="s">
        <v>38</v>
      </c>
      <c r="E229" t="s">
        <v>1000</v>
      </c>
      <c r="F229" t="s">
        <v>71</v>
      </c>
      <c r="G229" t="s">
        <v>1001</v>
      </c>
      <c r="H229">
        <v>1499</v>
      </c>
      <c r="I229">
        <v>1</v>
      </c>
      <c r="J229">
        <v>1499</v>
      </c>
      <c r="L229">
        <v>0</v>
      </c>
      <c r="M229" t="s">
        <v>29</v>
      </c>
      <c r="N229" t="s">
        <v>65</v>
      </c>
      <c r="O229" t="s">
        <v>118</v>
      </c>
      <c r="P229" t="s">
        <v>119</v>
      </c>
      <c r="Q229" t="s">
        <v>45</v>
      </c>
      <c r="R229" s="1" t="d">
        <v>2024-12-07</v>
      </c>
      <c r="S229" t="s">
        <v>33</v>
      </c>
      <c r="T229" t="s">
        <v>34</v>
      </c>
      <c r="W229" t="s">
        <v>35</v>
      </c>
      <c r="Y229" s="1" t="d">
        <f t="shared" si="9"/>
        <v>2024-11-25</v>
      </c>
      <c r="Z229">
        <f t="shared" si="10"/>
        <v>6</v>
      </c>
      <c r="AA229" t="str">
        <f t="shared" si="11"/>
        <v>No Discount</v>
      </c>
    </row>
    <row r="230" spans="1:27">
      <c r="A230" t="s">
        <v>1002</v>
      </c>
      <c r="B230" s="1" t="d">
        <v>2024-12-01</v>
      </c>
      <c r="C230" t="s">
        <v>1003</v>
      </c>
      <c r="D230" t="s">
        <v>25</v>
      </c>
      <c r="E230" t="s">
        <v>1004</v>
      </c>
      <c r="F230" t="s">
        <v>40</v>
      </c>
      <c r="G230" t="s">
        <v>1005</v>
      </c>
      <c r="H230">
        <v>2899</v>
      </c>
      <c r="I230">
        <v>1</v>
      </c>
      <c r="J230">
        <v>2899</v>
      </c>
      <c r="K230" s="2" t="d">
        <v>2020-12-01</v>
      </c>
      <c r="L230">
        <v>20</v>
      </c>
      <c r="M230" t="s">
        <v>64</v>
      </c>
      <c r="N230" t="s">
        <v>30</v>
      </c>
      <c r="O230" t="s">
        <v>563</v>
      </c>
      <c r="P230" t="s">
        <v>119</v>
      </c>
      <c r="Q230" t="s">
        <v>45</v>
      </c>
      <c r="R230" s="1" t="d">
        <v>2024-12-09</v>
      </c>
      <c r="S230" t="s">
        <v>33</v>
      </c>
      <c r="T230" t="s">
        <v>46</v>
      </c>
      <c r="U230" t="s">
        <v>47</v>
      </c>
      <c r="V230" s="1" t="d">
        <v>2024-12-30</v>
      </c>
      <c r="W230" t="s">
        <v>48</v>
      </c>
      <c r="Y230" s="1" t="d">
        <f t="shared" si="9"/>
        <v>2024-11-25</v>
      </c>
      <c r="Z230">
        <f t="shared" si="10"/>
        <v>8</v>
      </c>
      <c r="AA230" t="str">
        <f t="shared" si="11"/>
        <v>Low (1-20%)</v>
      </c>
    </row>
    <row r="231" spans="1:27">
      <c r="A231" t="s">
        <v>1006</v>
      </c>
      <c r="B231" s="1" t="d">
        <v>2024-12-02</v>
      </c>
      <c r="C231" t="s">
        <v>1007</v>
      </c>
      <c r="D231" t="s">
        <v>25</v>
      </c>
      <c r="E231" t="s">
        <v>1008</v>
      </c>
      <c r="F231" t="s">
        <v>27</v>
      </c>
      <c r="G231" t="s">
        <v>1009</v>
      </c>
      <c r="H231">
        <v>1599</v>
      </c>
      <c r="I231">
        <v>2</v>
      </c>
      <c r="J231">
        <v>3198</v>
      </c>
      <c r="L231">
        <v>0</v>
      </c>
      <c r="M231" t="s">
        <v>43</v>
      </c>
      <c r="N231" t="s">
        <v>44</v>
      </c>
      <c r="O231" t="s">
        <v>1010</v>
      </c>
      <c r="P231" t="s">
        <v>1011</v>
      </c>
      <c r="Q231" t="s">
        <v>45</v>
      </c>
      <c r="R231" s="1" t="d">
        <v>2024-12-09</v>
      </c>
      <c r="S231" t="s">
        <v>33</v>
      </c>
      <c r="T231" t="s">
        <v>34</v>
      </c>
      <c r="W231" t="s">
        <v>35</v>
      </c>
      <c r="Y231" s="1" t="d">
        <f t="shared" si="9"/>
        <v>2024-12-02</v>
      </c>
      <c r="Z231">
        <f t="shared" si="10"/>
        <v>7</v>
      </c>
      <c r="AA231" t="str">
        <f t="shared" si="11"/>
        <v>No Discount</v>
      </c>
    </row>
    <row r="232" spans="1:27">
      <c r="A232" t="s">
        <v>1012</v>
      </c>
      <c r="B232" s="1" t="d">
        <v>2024-12-02</v>
      </c>
      <c r="C232" t="s">
        <v>1013</v>
      </c>
      <c r="D232" t="s">
        <v>25</v>
      </c>
      <c r="E232" t="s">
        <v>1014</v>
      </c>
      <c r="F232" t="s">
        <v>53</v>
      </c>
      <c r="G232" t="s">
        <v>1015</v>
      </c>
      <c r="H232">
        <v>1799</v>
      </c>
      <c r="I232">
        <v>1</v>
      </c>
      <c r="J232">
        <v>1799</v>
      </c>
      <c r="K232" s="2" t="d">
        <v>2020-12-01</v>
      </c>
      <c r="L232">
        <v>20</v>
      </c>
      <c r="M232" t="s">
        <v>111</v>
      </c>
      <c r="N232" t="s">
        <v>65</v>
      </c>
      <c r="O232" t="s">
        <v>1016</v>
      </c>
      <c r="P232" t="s">
        <v>1017</v>
      </c>
      <c r="Q232" t="s">
        <v>45</v>
      </c>
      <c r="R232" s="1" t="d">
        <v>2024-12-10</v>
      </c>
      <c r="S232" t="s">
        <v>33</v>
      </c>
      <c r="T232" t="s">
        <v>34</v>
      </c>
      <c r="W232" t="s">
        <v>35</v>
      </c>
      <c r="Y232" s="1" t="d">
        <f t="shared" si="9"/>
        <v>2024-12-02</v>
      </c>
      <c r="Z232">
        <f t="shared" si="10"/>
        <v>8</v>
      </c>
      <c r="AA232" t="str">
        <f t="shared" si="11"/>
        <v>Low (1-20%)</v>
      </c>
    </row>
    <row r="233" spans="1:27">
      <c r="A233" t="s">
        <v>1018</v>
      </c>
      <c r="B233" s="1" t="d">
        <v>2024-12-02</v>
      </c>
      <c r="C233" t="s">
        <v>1019</v>
      </c>
      <c r="D233" t="s">
        <v>25</v>
      </c>
      <c r="E233" t="s">
        <v>444</v>
      </c>
      <c r="F233" t="s">
        <v>61</v>
      </c>
      <c r="G233" t="s">
        <v>445</v>
      </c>
      <c r="H233">
        <v>3299</v>
      </c>
      <c r="I233">
        <v>1</v>
      </c>
      <c r="J233">
        <v>3299</v>
      </c>
      <c r="L233">
        <v>0</v>
      </c>
      <c r="M233" t="s">
        <v>29</v>
      </c>
      <c r="N233" t="s">
        <v>30</v>
      </c>
      <c r="O233" t="s">
        <v>1020</v>
      </c>
      <c r="P233" t="s">
        <v>1021</v>
      </c>
      <c r="Q233" t="s">
        <v>45</v>
      </c>
      <c r="R233" s="1" t="d">
        <v>2024-12-11</v>
      </c>
      <c r="S233" t="s">
        <v>33</v>
      </c>
      <c r="T233" t="s">
        <v>46</v>
      </c>
      <c r="U233" t="s">
        <v>104</v>
      </c>
      <c r="V233" s="1" t="d">
        <v>2025-01-02</v>
      </c>
      <c r="W233" t="s">
        <v>105</v>
      </c>
      <c r="Y233" s="1" t="d">
        <f t="shared" si="9"/>
        <v>2024-12-02</v>
      </c>
      <c r="Z233">
        <f t="shared" si="10"/>
        <v>9</v>
      </c>
      <c r="AA233" t="str">
        <f t="shared" si="11"/>
        <v>No Discount</v>
      </c>
    </row>
    <row r="234" spans="1:27">
      <c r="A234" t="s">
        <v>1022</v>
      </c>
      <c r="B234" s="1" t="d">
        <v>2024-12-02</v>
      </c>
      <c r="C234" t="s">
        <v>1023</v>
      </c>
      <c r="D234" t="s">
        <v>38</v>
      </c>
      <c r="E234" t="s">
        <v>1024</v>
      </c>
      <c r="F234" t="s">
        <v>71</v>
      </c>
      <c r="G234" t="s">
        <v>1025</v>
      </c>
      <c r="H234">
        <v>599</v>
      </c>
      <c r="I234">
        <v>2</v>
      </c>
      <c r="J234">
        <v>1198</v>
      </c>
      <c r="K234" s="2" t="d">
        <v>2020-12-01</v>
      </c>
      <c r="L234">
        <v>20</v>
      </c>
      <c r="M234" t="s">
        <v>55</v>
      </c>
      <c r="N234" t="s">
        <v>44</v>
      </c>
      <c r="O234" t="s">
        <v>1026</v>
      </c>
      <c r="P234" t="s">
        <v>1011</v>
      </c>
      <c r="Q234" t="s">
        <v>45</v>
      </c>
      <c r="R234" s="1" t="d">
        <v>2024-12-10</v>
      </c>
      <c r="S234" t="s">
        <v>33</v>
      </c>
      <c r="T234" t="s">
        <v>34</v>
      </c>
      <c r="W234" t="s">
        <v>35</v>
      </c>
      <c r="Y234" s="1" t="d">
        <f t="shared" si="9"/>
        <v>2024-12-02</v>
      </c>
      <c r="Z234">
        <f t="shared" si="10"/>
        <v>8</v>
      </c>
      <c r="AA234" t="str">
        <f t="shared" si="11"/>
        <v>Low (1-20%)</v>
      </c>
    </row>
    <row r="235" spans="1:27">
      <c r="A235" t="s">
        <v>1027</v>
      </c>
      <c r="B235" s="1" t="d">
        <v>2024-12-03</v>
      </c>
      <c r="C235" t="s">
        <v>1028</v>
      </c>
      <c r="D235" t="s">
        <v>25</v>
      </c>
      <c r="E235" t="s">
        <v>1029</v>
      </c>
      <c r="F235" t="s">
        <v>27</v>
      </c>
      <c r="G235" t="s">
        <v>1030</v>
      </c>
      <c r="H235">
        <v>2199</v>
      </c>
      <c r="I235">
        <v>1</v>
      </c>
      <c r="J235">
        <v>2199</v>
      </c>
      <c r="L235">
        <v>0</v>
      </c>
      <c r="M235" t="s">
        <v>64</v>
      </c>
      <c r="N235" t="s">
        <v>65</v>
      </c>
      <c r="O235" t="s">
        <v>1031</v>
      </c>
      <c r="P235" t="s">
        <v>91</v>
      </c>
      <c r="Q235" t="s">
        <v>45</v>
      </c>
      <c r="R235" s="1" t="d">
        <v>2024-12-12</v>
      </c>
      <c r="S235" t="s">
        <v>33</v>
      </c>
      <c r="T235" t="s">
        <v>46</v>
      </c>
      <c r="U235" t="s">
        <v>47</v>
      </c>
      <c r="V235" s="1" t="d">
        <v>2025-01-03</v>
      </c>
      <c r="W235" t="s">
        <v>48</v>
      </c>
      <c r="Y235" s="1" t="d">
        <f t="shared" si="9"/>
        <v>2024-12-02</v>
      </c>
      <c r="Z235">
        <f t="shared" si="10"/>
        <v>9</v>
      </c>
      <c r="AA235" t="str">
        <f t="shared" si="11"/>
        <v>No Discount</v>
      </c>
    </row>
    <row r="236" spans="1:27">
      <c r="A236" t="s">
        <v>1032</v>
      </c>
      <c r="B236" s="1" t="d">
        <v>2024-12-03</v>
      </c>
      <c r="C236" t="s">
        <v>1033</v>
      </c>
      <c r="D236" t="s">
        <v>25</v>
      </c>
      <c r="E236" t="s">
        <v>1034</v>
      </c>
      <c r="F236" t="s">
        <v>40</v>
      </c>
      <c r="G236" t="s">
        <v>278</v>
      </c>
      <c r="H236">
        <v>2499</v>
      </c>
      <c r="I236">
        <v>1</v>
      </c>
      <c r="J236">
        <v>2499</v>
      </c>
      <c r="K236" s="2" t="d">
        <v>2020-12-01</v>
      </c>
      <c r="L236">
        <v>20</v>
      </c>
      <c r="M236" t="s">
        <v>43</v>
      </c>
      <c r="N236" t="s">
        <v>30</v>
      </c>
      <c r="O236" t="s">
        <v>1035</v>
      </c>
      <c r="P236" t="s">
        <v>1036</v>
      </c>
      <c r="Q236" t="s">
        <v>45</v>
      </c>
      <c r="R236" s="1" t="d">
        <v>2024-12-12</v>
      </c>
      <c r="S236" t="s">
        <v>33</v>
      </c>
      <c r="T236" t="s">
        <v>34</v>
      </c>
      <c r="W236" t="s">
        <v>35</v>
      </c>
      <c r="Y236" s="1" t="d">
        <f t="shared" si="9"/>
        <v>2024-12-02</v>
      </c>
      <c r="Z236">
        <f t="shared" si="10"/>
        <v>9</v>
      </c>
      <c r="AA236" t="str">
        <f t="shared" si="11"/>
        <v>Low (1-20%)</v>
      </c>
    </row>
    <row r="237" spans="1:27">
      <c r="A237" t="s">
        <v>1037</v>
      </c>
      <c r="B237" s="1" t="d">
        <v>2024-12-03</v>
      </c>
      <c r="C237" t="s">
        <v>1038</v>
      </c>
      <c r="D237" t="s">
        <v>25</v>
      </c>
      <c r="E237" t="s">
        <v>1039</v>
      </c>
      <c r="F237" t="s">
        <v>53</v>
      </c>
      <c r="G237" t="s">
        <v>1040</v>
      </c>
      <c r="H237">
        <v>2999</v>
      </c>
      <c r="I237">
        <v>1</v>
      </c>
      <c r="J237">
        <v>2999</v>
      </c>
      <c r="L237">
        <v>0</v>
      </c>
      <c r="M237" t="s">
        <v>29</v>
      </c>
      <c r="N237" t="s">
        <v>44</v>
      </c>
      <c r="O237" t="s">
        <v>1041</v>
      </c>
      <c r="P237" t="s">
        <v>1042</v>
      </c>
      <c r="Q237" t="s">
        <v>45</v>
      </c>
      <c r="R237" s="1" t="d">
        <v>2024-12-14</v>
      </c>
      <c r="S237" t="s">
        <v>33</v>
      </c>
      <c r="T237" t="s">
        <v>46</v>
      </c>
      <c r="U237" t="s">
        <v>68</v>
      </c>
      <c r="V237" s="1" t="d">
        <v>2025-01-05</v>
      </c>
      <c r="W237" t="s">
        <v>48</v>
      </c>
      <c r="Y237" s="1" t="d">
        <f t="shared" si="9"/>
        <v>2024-12-02</v>
      </c>
      <c r="Z237">
        <f t="shared" si="10"/>
        <v>11</v>
      </c>
      <c r="AA237" t="str">
        <f t="shared" si="11"/>
        <v>No Discount</v>
      </c>
    </row>
    <row r="238" spans="1:27">
      <c r="A238" t="s">
        <v>1043</v>
      </c>
      <c r="B238" s="1" t="d">
        <v>2024-12-03</v>
      </c>
      <c r="C238" t="s">
        <v>1044</v>
      </c>
      <c r="D238" t="s">
        <v>25</v>
      </c>
      <c r="E238" t="s">
        <v>1045</v>
      </c>
      <c r="F238" t="s">
        <v>61</v>
      </c>
      <c r="G238" t="s">
        <v>1046</v>
      </c>
      <c r="H238">
        <v>7999</v>
      </c>
      <c r="I238">
        <v>1</v>
      </c>
      <c r="J238">
        <v>7999</v>
      </c>
      <c r="K238" s="2" t="d">
        <v>2020-12-01</v>
      </c>
      <c r="L238">
        <v>20</v>
      </c>
      <c r="M238" t="s">
        <v>111</v>
      </c>
      <c r="N238" t="s">
        <v>65</v>
      </c>
      <c r="O238" t="s">
        <v>1047</v>
      </c>
      <c r="P238" t="s">
        <v>1048</v>
      </c>
      <c r="Q238" t="s">
        <v>45</v>
      </c>
      <c r="R238" s="1" t="d">
        <v>2024-12-14</v>
      </c>
      <c r="S238" t="s">
        <v>33</v>
      </c>
      <c r="T238" t="s">
        <v>34</v>
      </c>
      <c r="W238" t="s">
        <v>35</v>
      </c>
      <c r="Y238" s="1" t="d">
        <f t="shared" si="9"/>
        <v>2024-12-02</v>
      </c>
      <c r="Z238">
        <f t="shared" si="10"/>
        <v>11</v>
      </c>
      <c r="AA238" t="str">
        <f t="shared" si="11"/>
        <v>Low (1-20%)</v>
      </c>
    </row>
    <row r="239" spans="1:27">
      <c r="A239" t="s">
        <v>1049</v>
      </c>
      <c r="B239" s="1" t="d">
        <v>2024-12-04</v>
      </c>
      <c r="C239" t="s">
        <v>1050</v>
      </c>
      <c r="D239" t="s">
        <v>38</v>
      </c>
      <c r="E239" t="s">
        <v>1051</v>
      </c>
      <c r="F239" t="s">
        <v>27</v>
      </c>
      <c r="G239" t="s">
        <v>1052</v>
      </c>
      <c r="H239">
        <v>1999</v>
      </c>
      <c r="I239">
        <v>1</v>
      </c>
      <c r="J239">
        <v>1999</v>
      </c>
      <c r="L239">
        <v>0</v>
      </c>
      <c r="M239" t="s">
        <v>43</v>
      </c>
      <c r="N239" t="s">
        <v>30</v>
      </c>
      <c r="O239" t="s">
        <v>1053</v>
      </c>
      <c r="P239" t="s">
        <v>67</v>
      </c>
      <c r="Q239" t="s">
        <v>56</v>
      </c>
      <c r="R239" s="1" t="d">
        <v>2024-12-13</v>
      </c>
      <c r="S239" t="s">
        <v>33</v>
      </c>
      <c r="T239" t="s">
        <v>34</v>
      </c>
      <c r="W239" t="s">
        <v>35</v>
      </c>
      <c r="Y239" s="1" t="d">
        <f t="shared" si="9"/>
        <v>2024-12-02</v>
      </c>
      <c r="Z239">
        <f t="shared" si="10"/>
        <v>9</v>
      </c>
      <c r="AA239" t="str">
        <f t="shared" si="11"/>
        <v>No Discount</v>
      </c>
    </row>
    <row r="240" spans="1:27">
      <c r="A240" t="s">
        <v>1054</v>
      </c>
      <c r="B240" s="1" t="d">
        <v>2024-12-04</v>
      </c>
      <c r="C240" t="s">
        <v>1055</v>
      </c>
      <c r="D240" t="s">
        <v>25</v>
      </c>
      <c r="E240" t="s">
        <v>1056</v>
      </c>
      <c r="F240" t="s">
        <v>71</v>
      </c>
      <c r="G240" t="s">
        <v>1057</v>
      </c>
      <c r="H240">
        <v>499</v>
      </c>
      <c r="I240">
        <v>2</v>
      </c>
      <c r="J240">
        <v>998</v>
      </c>
      <c r="K240" s="2" t="d">
        <v>2020-12-01</v>
      </c>
      <c r="L240">
        <v>20</v>
      </c>
      <c r="M240" t="s">
        <v>55</v>
      </c>
      <c r="N240" t="s">
        <v>44</v>
      </c>
      <c r="O240" t="s">
        <v>1058</v>
      </c>
      <c r="P240" t="s">
        <v>183</v>
      </c>
      <c r="Q240" t="s">
        <v>56</v>
      </c>
      <c r="R240" s="1" t="d">
        <v>2024-12-13</v>
      </c>
      <c r="S240" t="s">
        <v>33</v>
      </c>
      <c r="T240" t="s">
        <v>34</v>
      </c>
      <c r="W240" t="s">
        <v>35</v>
      </c>
      <c r="Y240" s="1" t="d">
        <f t="shared" si="9"/>
        <v>2024-12-02</v>
      </c>
      <c r="Z240">
        <f t="shared" si="10"/>
        <v>9</v>
      </c>
      <c r="AA240" t="str">
        <f t="shared" si="11"/>
        <v>Low (1-20%)</v>
      </c>
    </row>
    <row r="241" spans="1:27">
      <c r="A241" t="s">
        <v>1059</v>
      </c>
      <c r="B241" s="1" t="d">
        <v>2024-12-04</v>
      </c>
      <c r="C241" t="s">
        <v>1060</v>
      </c>
      <c r="D241" t="s">
        <v>25</v>
      </c>
      <c r="E241" t="s">
        <v>1061</v>
      </c>
      <c r="F241" t="s">
        <v>40</v>
      </c>
      <c r="G241" t="s">
        <v>1062</v>
      </c>
      <c r="H241">
        <v>4999</v>
      </c>
      <c r="I241">
        <v>1</v>
      </c>
      <c r="J241">
        <v>4999</v>
      </c>
      <c r="L241">
        <v>0</v>
      </c>
      <c r="M241" t="s">
        <v>64</v>
      </c>
      <c r="N241" t="s">
        <v>65</v>
      </c>
      <c r="O241" t="s">
        <v>1063</v>
      </c>
      <c r="P241" t="s">
        <v>1063</v>
      </c>
      <c r="Q241" t="s">
        <v>31</v>
      </c>
      <c r="R241" s="1" t="d">
        <v>2024-12-14</v>
      </c>
      <c r="S241" t="s">
        <v>33</v>
      </c>
      <c r="T241" t="s">
        <v>46</v>
      </c>
      <c r="U241" t="s">
        <v>47</v>
      </c>
      <c r="V241" s="1" t="d">
        <v>2025-01-06</v>
      </c>
      <c r="W241" t="s">
        <v>48</v>
      </c>
      <c r="Y241" s="1" t="d">
        <f t="shared" si="9"/>
        <v>2024-12-02</v>
      </c>
      <c r="Z241">
        <f t="shared" si="10"/>
        <v>10</v>
      </c>
      <c r="AA241" t="str">
        <f t="shared" si="11"/>
        <v>No Discount</v>
      </c>
    </row>
    <row r="242" spans="1:27">
      <c r="A242" t="s">
        <v>1064</v>
      </c>
      <c r="B242" s="1" t="d">
        <v>2024-12-04</v>
      </c>
      <c r="C242" t="s">
        <v>1065</v>
      </c>
      <c r="D242" t="s">
        <v>25</v>
      </c>
      <c r="E242" t="s">
        <v>1066</v>
      </c>
      <c r="F242" t="s">
        <v>27</v>
      </c>
      <c r="G242" t="s">
        <v>1067</v>
      </c>
      <c r="H242">
        <v>2299</v>
      </c>
      <c r="I242">
        <v>1</v>
      </c>
      <c r="J242">
        <v>2299</v>
      </c>
      <c r="K242" s="2" t="d">
        <v>2020-12-01</v>
      </c>
      <c r="L242">
        <v>20</v>
      </c>
      <c r="M242" t="s">
        <v>29</v>
      </c>
      <c r="N242" t="s">
        <v>30</v>
      </c>
      <c r="O242" t="s">
        <v>31</v>
      </c>
      <c r="P242" t="s">
        <v>32</v>
      </c>
      <c r="Q242" t="s">
        <v>31</v>
      </c>
      <c r="R242" s="1" t="d">
        <v>2024-12-13</v>
      </c>
      <c r="S242" t="s">
        <v>33</v>
      </c>
      <c r="T242" t="s">
        <v>34</v>
      </c>
      <c r="W242" t="s">
        <v>35</v>
      </c>
      <c r="Y242" s="1" t="d">
        <f t="shared" si="9"/>
        <v>2024-12-02</v>
      </c>
      <c r="Z242">
        <f t="shared" si="10"/>
        <v>9</v>
      </c>
      <c r="AA242" t="str">
        <f t="shared" si="11"/>
        <v>Low (1-20%)</v>
      </c>
    </row>
    <row r="243" spans="1:27">
      <c r="A243" t="s">
        <v>1068</v>
      </c>
      <c r="B243" s="1" t="d">
        <v>2024-12-05</v>
      </c>
      <c r="C243" t="s">
        <v>1069</v>
      </c>
      <c r="D243" t="s">
        <v>25</v>
      </c>
      <c r="E243" t="s">
        <v>1070</v>
      </c>
      <c r="F243" t="s">
        <v>53</v>
      </c>
      <c r="G243" t="s">
        <v>781</v>
      </c>
      <c r="H243">
        <v>2599</v>
      </c>
      <c r="I243">
        <v>1</v>
      </c>
      <c r="J243">
        <v>2599</v>
      </c>
      <c r="L243">
        <v>0</v>
      </c>
      <c r="M243" t="s">
        <v>43</v>
      </c>
      <c r="N243" t="s">
        <v>44</v>
      </c>
      <c r="O243" t="s">
        <v>56</v>
      </c>
      <c r="P243" t="s">
        <v>57</v>
      </c>
      <c r="Q243" t="s">
        <v>56</v>
      </c>
      <c r="R243" s="1" t="d">
        <v>2024-12-15</v>
      </c>
      <c r="S243" t="s">
        <v>33</v>
      </c>
      <c r="T243" t="s">
        <v>46</v>
      </c>
      <c r="U243" t="s">
        <v>79</v>
      </c>
      <c r="V243" s="1" t="d">
        <v>2025-01-08</v>
      </c>
      <c r="W243" t="s">
        <v>48</v>
      </c>
      <c r="Y243" s="1" t="d">
        <f t="shared" si="9"/>
        <v>2024-12-02</v>
      </c>
      <c r="Z243">
        <f t="shared" si="10"/>
        <v>10</v>
      </c>
      <c r="AA243" t="str">
        <f t="shared" si="11"/>
        <v>No Discount</v>
      </c>
    </row>
    <row r="244" spans="1:27">
      <c r="A244" t="s">
        <v>1071</v>
      </c>
      <c r="B244" s="1" t="d">
        <v>2024-12-05</v>
      </c>
      <c r="C244" t="s">
        <v>1072</v>
      </c>
      <c r="D244" t="s">
        <v>38</v>
      </c>
      <c r="E244" t="s">
        <v>1073</v>
      </c>
      <c r="F244" t="s">
        <v>61</v>
      </c>
      <c r="G244" t="s">
        <v>1074</v>
      </c>
      <c r="H244">
        <v>8999</v>
      </c>
      <c r="I244">
        <v>1</v>
      </c>
      <c r="J244">
        <v>8999</v>
      </c>
      <c r="K244" s="2" t="d">
        <v>2020-12-01</v>
      </c>
      <c r="L244">
        <v>20</v>
      </c>
      <c r="M244" t="s">
        <v>111</v>
      </c>
      <c r="N244" t="s">
        <v>65</v>
      </c>
      <c r="O244" t="s">
        <v>45</v>
      </c>
      <c r="P244" t="s">
        <v>45</v>
      </c>
      <c r="Q244" t="s">
        <v>45</v>
      </c>
      <c r="R244" s="1" t="d">
        <v>2024-12-17</v>
      </c>
      <c r="S244" t="s">
        <v>33</v>
      </c>
      <c r="T244" t="s">
        <v>46</v>
      </c>
      <c r="U244" t="s">
        <v>47</v>
      </c>
      <c r="V244" s="1" t="d">
        <v>2025-01-10</v>
      </c>
      <c r="W244" t="s">
        <v>105</v>
      </c>
      <c r="Y244" s="1" t="d">
        <f t="shared" si="9"/>
        <v>2024-12-02</v>
      </c>
      <c r="Z244">
        <f t="shared" si="10"/>
        <v>12</v>
      </c>
      <c r="AA244" t="str">
        <f t="shared" si="11"/>
        <v>Low (1-20%)</v>
      </c>
    </row>
    <row r="245" spans="1:27">
      <c r="A245" t="s">
        <v>1075</v>
      </c>
      <c r="B245" s="1" t="d">
        <v>2024-12-05</v>
      </c>
      <c r="C245" t="s">
        <v>1076</v>
      </c>
      <c r="D245" t="s">
        <v>25</v>
      </c>
      <c r="E245" t="s">
        <v>369</v>
      </c>
      <c r="F245" t="s">
        <v>71</v>
      </c>
      <c r="G245" t="s">
        <v>1077</v>
      </c>
      <c r="H245">
        <v>1799</v>
      </c>
      <c r="I245">
        <v>1</v>
      </c>
      <c r="J245">
        <v>1799</v>
      </c>
      <c r="L245">
        <v>0</v>
      </c>
      <c r="M245" t="s">
        <v>29</v>
      </c>
      <c r="N245" t="s">
        <v>30</v>
      </c>
      <c r="O245" t="s">
        <v>77</v>
      </c>
      <c r="P245" t="s">
        <v>78</v>
      </c>
      <c r="Q245" t="s">
        <v>56</v>
      </c>
      <c r="R245" s="1" t="d">
        <v>2024-12-16</v>
      </c>
      <c r="S245" t="s">
        <v>33</v>
      </c>
      <c r="T245" t="s">
        <v>34</v>
      </c>
      <c r="W245" t="s">
        <v>35</v>
      </c>
      <c r="Y245" s="1" t="d">
        <f t="shared" si="9"/>
        <v>2024-12-02</v>
      </c>
      <c r="Z245">
        <f t="shared" si="10"/>
        <v>11</v>
      </c>
      <c r="AA245" t="str">
        <f t="shared" si="11"/>
        <v>No Discount</v>
      </c>
    </row>
    <row r="246" spans="1:27">
      <c r="A246" t="s">
        <v>1078</v>
      </c>
      <c r="B246" s="1" t="d">
        <v>2024-12-05</v>
      </c>
      <c r="C246" t="s">
        <v>1079</v>
      </c>
      <c r="D246" t="s">
        <v>25</v>
      </c>
      <c r="E246" t="s">
        <v>1080</v>
      </c>
      <c r="F246" t="s">
        <v>27</v>
      </c>
      <c r="G246" t="s">
        <v>1081</v>
      </c>
      <c r="H246">
        <v>2199</v>
      </c>
      <c r="I246">
        <v>1</v>
      </c>
      <c r="J246">
        <v>2199</v>
      </c>
      <c r="L246">
        <v>0</v>
      </c>
      <c r="M246" t="s">
        <v>64</v>
      </c>
      <c r="N246" t="s">
        <v>44</v>
      </c>
      <c r="O246" t="s">
        <v>66</v>
      </c>
      <c r="P246" t="s">
        <v>67</v>
      </c>
      <c r="Q246" t="s">
        <v>56</v>
      </c>
      <c r="R246" s="1" t="d">
        <v>2024-12-16</v>
      </c>
      <c r="S246" t="s">
        <v>33</v>
      </c>
      <c r="T246" t="s">
        <v>34</v>
      </c>
      <c r="W246" t="s">
        <v>35</v>
      </c>
      <c r="Y246" s="1" t="d">
        <f t="shared" si="9"/>
        <v>2024-12-02</v>
      </c>
      <c r="Z246">
        <f t="shared" si="10"/>
        <v>11</v>
      </c>
      <c r="AA246" t="str">
        <f t="shared" si="11"/>
        <v>No Discount</v>
      </c>
    </row>
    <row r="247" spans="1:27">
      <c r="A247" t="s">
        <v>1082</v>
      </c>
      <c r="B247" s="1" t="d">
        <v>2024-12-06</v>
      </c>
      <c r="C247" t="s">
        <v>1083</v>
      </c>
      <c r="D247" t="s">
        <v>25</v>
      </c>
      <c r="E247" t="s">
        <v>1084</v>
      </c>
      <c r="F247" t="s">
        <v>40</v>
      </c>
      <c r="G247" t="s">
        <v>1085</v>
      </c>
      <c r="H247">
        <v>3799</v>
      </c>
      <c r="I247">
        <v>1</v>
      </c>
      <c r="J247">
        <v>3799</v>
      </c>
      <c r="K247" s="2" t="d">
        <v>2020-12-01</v>
      </c>
      <c r="L247">
        <v>20</v>
      </c>
      <c r="M247" t="s">
        <v>55</v>
      </c>
      <c r="N247" t="s">
        <v>65</v>
      </c>
      <c r="O247" t="s">
        <v>84</v>
      </c>
      <c r="P247" t="s">
        <v>32</v>
      </c>
      <c r="Q247" t="s">
        <v>31</v>
      </c>
      <c r="R247" s="1" t="d">
        <v>2024-12-18</v>
      </c>
      <c r="S247" t="s">
        <v>33</v>
      </c>
      <c r="T247" t="s">
        <v>46</v>
      </c>
      <c r="U247" t="s">
        <v>68</v>
      </c>
      <c r="V247" s="1" t="d">
        <v>2025-01-12</v>
      </c>
      <c r="W247" t="s">
        <v>48</v>
      </c>
      <c r="Y247" s="1" t="d">
        <f t="shared" si="9"/>
        <v>2024-12-02</v>
      </c>
      <c r="Z247">
        <f t="shared" si="10"/>
        <v>12</v>
      </c>
      <c r="AA247" t="str">
        <f t="shared" si="11"/>
        <v>Low (1-20%)</v>
      </c>
    </row>
    <row r="248" spans="1:27">
      <c r="A248" t="s">
        <v>1086</v>
      </c>
      <c r="B248" s="1" t="d">
        <v>2024-12-06</v>
      </c>
      <c r="C248" t="s">
        <v>1087</v>
      </c>
      <c r="D248" t="s">
        <v>25</v>
      </c>
      <c r="E248" t="s">
        <v>1088</v>
      </c>
      <c r="F248" t="s">
        <v>53</v>
      </c>
      <c r="G248" t="s">
        <v>1089</v>
      </c>
      <c r="H248">
        <v>2899</v>
      </c>
      <c r="I248">
        <v>1</v>
      </c>
      <c r="J248">
        <v>2899</v>
      </c>
      <c r="L248">
        <v>0</v>
      </c>
      <c r="M248" t="s">
        <v>43</v>
      </c>
      <c r="N248" t="s">
        <v>30</v>
      </c>
      <c r="O248" t="s">
        <v>90</v>
      </c>
      <c r="P248" t="s">
        <v>91</v>
      </c>
      <c r="Q248" t="s">
        <v>45</v>
      </c>
      <c r="R248" s="1" t="d">
        <v>2024-12-18</v>
      </c>
      <c r="S248" t="s">
        <v>33</v>
      </c>
      <c r="T248" t="s">
        <v>34</v>
      </c>
      <c r="W248" t="s">
        <v>35</v>
      </c>
      <c r="Y248" s="1" t="d">
        <f t="shared" si="9"/>
        <v>2024-12-02</v>
      </c>
      <c r="Z248">
        <f t="shared" si="10"/>
        <v>12</v>
      </c>
      <c r="AA248" t="str">
        <f t="shared" si="11"/>
        <v>No Discount</v>
      </c>
    </row>
    <row r="249" spans="1:27">
      <c r="A249" t="s">
        <v>1090</v>
      </c>
      <c r="B249" s="1" t="d">
        <v>2024-12-06</v>
      </c>
      <c r="C249" t="s">
        <v>1091</v>
      </c>
      <c r="D249" t="s">
        <v>38</v>
      </c>
      <c r="E249" t="s">
        <v>503</v>
      </c>
      <c r="F249" t="s">
        <v>61</v>
      </c>
      <c r="G249" t="s">
        <v>1092</v>
      </c>
      <c r="H249">
        <v>4599</v>
      </c>
      <c r="I249">
        <v>1</v>
      </c>
      <c r="J249">
        <v>4599</v>
      </c>
      <c r="K249" s="2" t="d">
        <v>2020-12-01</v>
      </c>
      <c r="L249">
        <v>20</v>
      </c>
      <c r="M249" t="s">
        <v>29</v>
      </c>
      <c r="N249" t="s">
        <v>44</v>
      </c>
      <c r="O249" t="s">
        <v>102</v>
      </c>
      <c r="P249" t="s">
        <v>103</v>
      </c>
      <c r="Q249" t="s">
        <v>45</v>
      </c>
      <c r="R249" s="1" t="d">
        <v>2024-12-19</v>
      </c>
      <c r="S249" t="s">
        <v>33</v>
      </c>
      <c r="T249" t="s">
        <v>46</v>
      </c>
      <c r="U249" t="s">
        <v>47</v>
      </c>
      <c r="V249" s="1" t="d">
        <v>2025-01-14</v>
      </c>
      <c r="W249" t="s">
        <v>48</v>
      </c>
      <c r="Y249" s="1" t="d">
        <f t="shared" si="9"/>
        <v>2024-12-02</v>
      </c>
      <c r="Z249">
        <f t="shared" si="10"/>
        <v>13</v>
      </c>
      <c r="AA249" t="str">
        <f t="shared" si="11"/>
        <v>Low (1-20%)</v>
      </c>
    </row>
    <row r="250" spans="1:27">
      <c r="A250" t="s">
        <v>1093</v>
      </c>
      <c r="B250" s="1" t="d">
        <v>2024-12-06</v>
      </c>
      <c r="C250" t="s">
        <v>1094</v>
      </c>
      <c r="D250" t="s">
        <v>25</v>
      </c>
      <c r="E250" t="s">
        <v>1095</v>
      </c>
      <c r="F250" t="s">
        <v>71</v>
      </c>
      <c r="G250" t="s">
        <v>1096</v>
      </c>
      <c r="H250">
        <v>2499</v>
      </c>
      <c r="I250">
        <v>1</v>
      </c>
      <c r="J250">
        <v>2499</v>
      </c>
      <c r="L250">
        <v>0</v>
      </c>
      <c r="M250" t="s">
        <v>111</v>
      </c>
      <c r="N250" t="s">
        <v>65</v>
      </c>
      <c r="O250" t="s">
        <v>112</v>
      </c>
      <c r="P250" t="s">
        <v>113</v>
      </c>
      <c r="Q250" t="s">
        <v>45</v>
      </c>
      <c r="R250" s="1" t="d">
        <v>2024-12-19</v>
      </c>
      <c r="S250" t="s">
        <v>33</v>
      </c>
      <c r="T250" t="s">
        <v>34</v>
      </c>
      <c r="W250" t="s">
        <v>35</v>
      </c>
      <c r="Y250" s="1" t="d">
        <f t="shared" si="9"/>
        <v>2024-12-02</v>
      </c>
      <c r="Z250">
        <f t="shared" si="10"/>
        <v>13</v>
      </c>
      <c r="AA250" t="str">
        <f t="shared" si="11"/>
        <v>No Discount</v>
      </c>
    </row>
    <row r="251" spans="1:27">
      <c r="A251" t="s">
        <v>1097</v>
      </c>
      <c r="B251" s="1" t="d">
        <v>2024-12-07</v>
      </c>
      <c r="C251" t="s">
        <v>1098</v>
      </c>
      <c r="D251" t="s">
        <v>25</v>
      </c>
      <c r="E251" t="s">
        <v>1099</v>
      </c>
      <c r="F251" t="s">
        <v>27</v>
      </c>
      <c r="G251" t="s">
        <v>1100</v>
      </c>
      <c r="H251">
        <v>1899</v>
      </c>
      <c r="I251">
        <v>1</v>
      </c>
      <c r="J251">
        <v>1899</v>
      </c>
      <c r="L251">
        <v>0</v>
      </c>
      <c r="M251" t="s">
        <v>64</v>
      </c>
      <c r="N251" t="s">
        <v>30</v>
      </c>
      <c r="O251" t="s">
        <v>1063</v>
      </c>
      <c r="P251" t="s">
        <v>1063</v>
      </c>
      <c r="Q251" t="s">
        <v>31</v>
      </c>
      <c r="S251" t="s">
        <v>120</v>
      </c>
      <c r="T251" t="s">
        <v>34</v>
      </c>
      <c r="W251" t="s">
        <v>35</v>
      </c>
      <c r="Y251" s="1" t="d">
        <f t="shared" si="9"/>
        <v>2024-12-02</v>
      </c>
      <c r="Z251" t="str">
        <f t="shared" si="10"/>
        <v/>
      </c>
      <c r="AA251" t="str">
        <f t="shared" si="11"/>
        <v>No Discount</v>
      </c>
    </row>
    <row r="252" spans="1:27">
      <c r="A252" t="s">
        <v>1101</v>
      </c>
      <c r="B252" s="1" t="d">
        <v>2024-12-07</v>
      </c>
      <c r="C252" t="s">
        <v>1102</v>
      </c>
      <c r="D252" t="s">
        <v>25</v>
      </c>
      <c r="E252" t="s">
        <v>1103</v>
      </c>
      <c r="F252" t="s">
        <v>40</v>
      </c>
      <c r="G252" t="s">
        <v>937</v>
      </c>
      <c r="H252">
        <v>3299</v>
      </c>
      <c r="I252">
        <v>1</v>
      </c>
      <c r="J252">
        <v>3299</v>
      </c>
      <c r="K252" s="2" t="d">
        <v>2020-12-01</v>
      </c>
      <c r="L252">
        <v>20</v>
      </c>
      <c r="M252" t="s">
        <v>43</v>
      </c>
      <c r="N252" t="s">
        <v>44</v>
      </c>
      <c r="O252" t="s">
        <v>31</v>
      </c>
      <c r="P252" t="s">
        <v>32</v>
      </c>
      <c r="Q252" t="s">
        <v>31</v>
      </c>
      <c r="R252" s="1" t="d">
        <v>2024-12-20</v>
      </c>
      <c r="S252" t="s">
        <v>33</v>
      </c>
      <c r="T252" t="s">
        <v>34</v>
      </c>
      <c r="W252" t="s">
        <v>35</v>
      </c>
      <c r="Y252" s="1" t="d">
        <f t="shared" si="9"/>
        <v>2024-12-02</v>
      </c>
      <c r="Z252">
        <f t="shared" si="10"/>
        <v>13</v>
      </c>
      <c r="AA252" t="str">
        <f t="shared" si="11"/>
        <v>Low (1-20%)</v>
      </c>
    </row>
    <row r="253" spans="1:27">
      <c r="A253" t="s">
        <v>1104</v>
      </c>
      <c r="B253" s="1" t="d">
        <v>2024-12-07</v>
      </c>
      <c r="C253" t="s">
        <v>1105</v>
      </c>
      <c r="D253" t="s">
        <v>25</v>
      </c>
      <c r="E253" t="s">
        <v>1106</v>
      </c>
      <c r="F253" t="s">
        <v>53</v>
      </c>
      <c r="G253" t="s">
        <v>941</v>
      </c>
      <c r="H253">
        <v>2199</v>
      </c>
      <c r="I253">
        <v>1</v>
      </c>
      <c r="J253">
        <v>2199</v>
      </c>
      <c r="L253">
        <v>0</v>
      </c>
      <c r="M253" t="s">
        <v>55</v>
      </c>
      <c r="N253" t="s">
        <v>65</v>
      </c>
      <c r="O253" t="s">
        <v>45</v>
      </c>
      <c r="P253" t="s">
        <v>45</v>
      </c>
      <c r="Q253" t="s">
        <v>45</v>
      </c>
      <c r="R253" s="1" t="d">
        <v>2024-12-21</v>
      </c>
      <c r="S253" t="s">
        <v>33</v>
      </c>
      <c r="T253" t="s">
        <v>46</v>
      </c>
      <c r="U253" t="s">
        <v>138</v>
      </c>
      <c r="V253" s="1" t="d">
        <v>2025-01-15</v>
      </c>
      <c r="W253" t="s">
        <v>105</v>
      </c>
      <c r="Y253" s="1" t="d">
        <f t="shared" si="9"/>
        <v>2024-12-02</v>
      </c>
      <c r="Z253">
        <f t="shared" si="10"/>
        <v>14</v>
      </c>
      <c r="AA253" t="str">
        <f t="shared" si="11"/>
        <v>No Discount</v>
      </c>
    </row>
    <row r="254" spans="1:27">
      <c r="A254" t="s">
        <v>1107</v>
      </c>
      <c r="B254" s="1" t="d">
        <v>2024-12-07</v>
      </c>
      <c r="C254" t="s">
        <v>1108</v>
      </c>
      <c r="D254" t="s">
        <v>38</v>
      </c>
      <c r="E254" t="s">
        <v>1109</v>
      </c>
      <c r="F254" t="s">
        <v>61</v>
      </c>
      <c r="G254" t="s">
        <v>1110</v>
      </c>
      <c r="H254">
        <v>5499</v>
      </c>
      <c r="I254">
        <v>1</v>
      </c>
      <c r="J254">
        <v>5499</v>
      </c>
      <c r="K254" s="2" t="d">
        <v>2020-12-01</v>
      </c>
      <c r="L254">
        <v>20</v>
      </c>
      <c r="M254" t="s">
        <v>29</v>
      </c>
      <c r="N254" t="s">
        <v>30</v>
      </c>
      <c r="O254" t="s">
        <v>56</v>
      </c>
      <c r="P254" t="s">
        <v>57</v>
      </c>
      <c r="Q254" t="s">
        <v>56</v>
      </c>
      <c r="R254" s="1" t="d">
        <v>2024-12-21</v>
      </c>
      <c r="S254" t="s">
        <v>33</v>
      </c>
      <c r="T254" t="s">
        <v>34</v>
      </c>
      <c r="W254" t="s">
        <v>35</v>
      </c>
      <c r="Y254" s="1" t="d">
        <f t="shared" si="9"/>
        <v>2024-12-02</v>
      </c>
      <c r="Z254">
        <f t="shared" si="10"/>
        <v>14</v>
      </c>
      <c r="AA254" t="str">
        <f t="shared" si="11"/>
        <v>Low (1-20%)</v>
      </c>
    </row>
    <row r="255" spans="1:27">
      <c r="A255" t="s">
        <v>1111</v>
      </c>
      <c r="B255" s="1" t="d">
        <v>2024-12-08</v>
      </c>
      <c r="C255" t="s">
        <v>1112</v>
      </c>
      <c r="D255" t="s">
        <v>25</v>
      </c>
      <c r="E255" t="s">
        <v>1113</v>
      </c>
      <c r="F255" t="s">
        <v>71</v>
      </c>
      <c r="G255" t="s">
        <v>1114</v>
      </c>
      <c r="H255">
        <v>999</v>
      </c>
      <c r="I255">
        <v>1</v>
      </c>
      <c r="J255">
        <v>999</v>
      </c>
      <c r="L255">
        <v>0</v>
      </c>
      <c r="M255" t="s">
        <v>111</v>
      </c>
      <c r="N255" t="s">
        <v>44</v>
      </c>
      <c r="O255" t="s">
        <v>96</v>
      </c>
      <c r="P255" t="s">
        <v>97</v>
      </c>
      <c r="Q255" t="s">
        <v>31</v>
      </c>
      <c r="R255" s="1" t="d">
        <v>2024-12-22</v>
      </c>
      <c r="S255" t="s">
        <v>33</v>
      </c>
      <c r="T255" t="s">
        <v>34</v>
      </c>
      <c r="W255" t="s">
        <v>35</v>
      </c>
      <c r="Y255" s="1" t="d">
        <f t="shared" si="9"/>
        <v>2024-12-02</v>
      </c>
      <c r="Z255">
        <f t="shared" si="10"/>
        <v>14</v>
      </c>
      <c r="AA255" t="str">
        <f t="shared" si="11"/>
        <v>No Discount</v>
      </c>
    </row>
    <row r="256" spans="1:27">
      <c r="A256" t="s">
        <v>1115</v>
      </c>
      <c r="B256" s="1" t="d">
        <v>2024-12-08</v>
      </c>
      <c r="C256" t="s">
        <v>1116</v>
      </c>
      <c r="D256" t="s">
        <v>25</v>
      </c>
      <c r="E256" t="s">
        <v>261</v>
      </c>
      <c r="F256" t="s">
        <v>27</v>
      </c>
      <c r="G256" t="s">
        <v>262</v>
      </c>
      <c r="H256">
        <v>1699</v>
      </c>
      <c r="I256">
        <v>2</v>
      </c>
      <c r="J256">
        <v>3398</v>
      </c>
      <c r="L256">
        <v>0</v>
      </c>
      <c r="M256" t="s">
        <v>64</v>
      </c>
      <c r="N256" t="s">
        <v>65</v>
      </c>
      <c r="O256" t="s">
        <v>156</v>
      </c>
      <c r="P256" t="s">
        <v>97</v>
      </c>
      <c r="Q256" t="s">
        <v>31</v>
      </c>
      <c r="R256" s="1" t="d">
        <v>2024-12-22</v>
      </c>
      <c r="S256" t="s">
        <v>33</v>
      </c>
      <c r="T256" t="s">
        <v>46</v>
      </c>
      <c r="U256" t="s">
        <v>47</v>
      </c>
      <c r="V256" s="1" t="d">
        <v>2025-01-16</v>
      </c>
      <c r="W256" t="s">
        <v>48</v>
      </c>
      <c r="Y256" s="1" t="d">
        <f t="shared" si="9"/>
        <v>2024-12-02</v>
      </c>
      <c r="Z256">
        <f t="shared" si="10"/>
        <v>14</v>
      </c>
      <c r="AA256" t="str">
        <f t="shared" si="11"/>
        <v>No Discount</v>
      </c>
    </row>
    <row r="257" spans="1:27">
      <c r="A257" t="s">
        <v>1117</v>
      </c>
      <c r="B257" s="1" t="d">
        <v>2024-12-08</v>
      </c>
      <c r="C257" t="s">
        <v>1118</v>
      </c>
      <c r="D257" t="s">
        <v>25</v>
      </c>
      <c r="E257" t="s">
        <v>1119</v>
      </c>
      <c r="F257" t="s">
        <v>40</v>
      </c>
      <c r="G257" t="s">
        <v>1120</v>
      </c>
      <c r="H257">
        <v>2799</v>
      </c>
      <c r="I257">
        <v>1</v>
      </c>
      <c r="J257">
        <v>2799</v>
      </c>
      <c r="K257" s="2" t="d">
        <v>2020-12-01</v>
      </c>
      <c r="L257">
        <v>20</v>
      </c>
      <c r="M257" t="s">
        <v>43</v>
      </c>
      <c r="N257" t="s">
        <v>30</v>
      </c>
      <c r="O257" t="s">
        <v>204</v>
      </c>
      <c r="P257" t="s">
        <v>97</v>
      </c>
      <c r="Q257" t="s">
        <v>31</v>
      </c>
      <c r="R257" s="1" t="d">
        <v>2024-12-23</v>
      </c>
      <c r="S257" t="s">
        <v>33</v>
      </c>
      <c r="T257" t="s">
        <v>46</v>
      </c>
      <c r="U257" t="s">
        <v>104</v>
      </c>
      <c r="V257" s="1" t="d">
        <v>2025-01-18</v>
      </c>
      <c r="W257" t="s">
        <v>48</v>
      </c>
      <c r="Y257" s="1" t="d">
        <f t="shared" si="9"/>
        <v>2024-12-02</v>
      </c>
      <c r="Z257">
        <f t="shared" si="10"/>
        <v>15</v>
      </c>
      <c r="AA257" t="str">
        <f t="shared" si="11"/>
        <v>Low (1-20%)</v>
      </c>
    </row>
    <row r="258" spans="1:27">
      <c r="A258" t="s">
        <v>1121</v>
      </c>
      <c r="B258" s="1" t="d">
        <v>2024-12-08</v>
      </c>
      <c r="C258" t="s">
        <v>1122</v>
      </c>
      <c r="D258" t="s">
        <v>25</v>
      </c>
      <c r="E258" t="s">
        <v>1123</v>
      </c>
      <c r="F258" t="s">
        <v>53</v>
      </c>
      <c r="G258" t="s">
        <v>314</v>
      </c>
      <c r="H258">
        <v>2299</v>
      </c>
      <c r="I258">
        <v>1</v>
      </c>
      <c r="J258">
        <v>2299</v>
      </c>
      <c r="L258">
        <v>0</v>
      </c>
      <c r="M258" t="s">
        <v>29</v>
      </c>
      <c r="N258" t="s">
        <v>44</v>
      </c>
      <c r="O258" t="s">
        <v>209</v>
      </c>
      <c r="P258" t="s">
        <v>97</v>
      </c>
      <c r="Q258" t="s">
        <v>31</v>
      </c>
      <c r="R258" s="1" t="d">
        <v>2024-12-23</v>
      </c>
      <c r="S258" t="s">
        <v>33</v>
      </c>
      <c r="T258" t="s">
        <v>34</v>
      </c>
      <c r="W258" t="s">
        <v>35</v>
      </c>
      <c r="Y258" s="1" t="d">
        <f t="shared" si="9"/>
        <v>2024-12-02</v>
      </c>
      <c r="Z258">
        <f t="shared" si="10"/>
        <v>15</v>
      </c>
      <c r="AA258" t="str">
        <f t="shared" si="11"/>
        <v>No Discount</v>
      </c>
    </row>
    <row r="259" spans="1:27">
      <c r="A259" t="s">
        <v>1124</v>
      </c>
      <c r="B259" s="1" t="d">
        <v>2024-12-09</v>
      </c>
      <c r="C259" t="s">
        <v>1125</v>
      </c>
      <c r="D259" t="s">
        <v>38</v>
      </c>
      <c r="E259" t="s">
        <v>1126</v>
      </c>
      <c r="F259" t="s">
        <v>61</v>
      </c>
      <c r="G259" t="s">
        <v>1127</v>
      </c>
      <c r="H259">
        <v>5999</v>
      </c>
      <c r="I259">
        <v>1</v>
      </c>
      <c r="J259">
        <v>5999</v>
      </c>
      <c r="L259">
        <v>0</v>
      </c>
      <c r="M259" t="s">
        <v>55</v>
      </c>
      <c r="N259" t="s">
        <v>65</v>
      </c>
      <c r="O259" t="s">
        <v>214</v>
      </c>
      <c r="P259" t="s">
        <v>113</v>
      </c>
      <c r="Q259" t="s">
        <v>45</v>
      </c>
      <c r="R259" s="1" t="d">
        <v>2024-12-24</v>
      </c>
      <c r="S259" t="s">
        <v>33</v>
      </c>
      <c r="T259" t="s">
        <v>46</v>
      </c>
      <c r="U259" t="s">
        <v>79</v>
      </c>
      <c r="V259" s="1" t="d">
        <v>2025-01-20</v>
      </c>
      <c r="W259" t="s">
        <v>48</v>
      </c>
      <c r="Y259" s="1" t="d">
        <f t="shared" ref="Y259:Y322" si="12">B259 - WEEKDAY(B259,2) + 1</f>
        <v>2024-12-09</v>
      </c>
      <c r="Z259">
        <f t="shared" ref="Z259:Z322" si="13">IF(R259&lt;&gt;"", R259-B259, "")</f>
        <v>15</v>
      </c>
      <c r="AA259" t="str">
        <f t="shared" ref="AA259:AA322" si="14">IF(L259=0, "No Discount", IF(L259&lt;=20, "Low (1-20%)", "High (20%+)"))</f>
        <v>No Discount</v>
      </c>
    </row>
    <row r="260" spans="1:27">
      <c r="A260" t="s">
        <v>1128</v>
      </c>
      <c r="B260" s="1" t="d">
        <v>2024-12-09</v>
      </c>
      <c r="C260" t="s">
        <v>1129</v>
      </c>
      <c r="D260" t="s">
        <v>25</v>
      </c>
      <c r="E260" t="s">
        <v>1130</v>
      </c>
      <c r="F260" t="s">
        <v>71</v>
      </c>
      <c r="G260" t="s">
        <v>1131</v>
      </c>
      <c r="H260">
        <v>899</v>
      </c>
      <c r="I260">
        <v>2</v>
      </c>
      <c r="J260">
        <v>1798</v>
      </c>
      <c r="K260" s="2" t="d">
        <v>2020-12-01</v>
      </c>
      <c r="L260">
        <v>20</v>
      </c>
      <c r="M260" t="s">
        <v>111</v>
      </c>
      <c r="N260" t="s">
        <v>30</v>
      </c>
      <c r="O260" t="s">
        <v>31</v>
      </c>
      <c r="P260" t="s">
        <v>32</v>
      </c>
      <c r="Q260" t="s">
        <v>31</v>
      </c>
      <c r="R260" s="1" t="d">
        <v>2024-12-23</v>
      </c>
      <c r="S260" t="s">
        <v>33</v>
      </c>
      <c r="T260" t="s">
        <v>34</v>
      </c>
      <c r="W260" t="s">
        <v>35</v>
      </c>
      <c r="Y260" s="1" t="d">
        <f t="shared" si="12"/>
        <v>2024-12-09</v>
      </c>
      <c r="Z260">
        <f t="shared" si="13"/>
        <v>14</v>
      </c>
      <c r="AA260" t="str">
        <f t="shared" si="14"/>
        <v>Low (1-20%)</v>
      </c>
    </row>
    <row r="261" spans="1:27">
      <c r="A261" t="s">
        <v>1132</v>
      </c>
      <c r="B261" s="1" t="d">
        <v>2024-12-09</v>
      </c>
      <c r="C261" t="s">
        <v>1133</v>
      </c>
      <c r="D261" t="s">
        <v>25</v>
      </c>
      <c r="E261" t="s">
        <v>1134</v>
      </c>
      <c r="F261" t="s">
        <v>27</v>
      </c>
      <c r="G261" t="s">
        <v>1135</v>
      </c>
      <c r="H261">
        <v>2099</v>
      </c>
      <c r="I261">
        <v>1</v>
      </c>
      <c r="J261">
        <v>2099</v>
      </c>
      <c r="L261">
        <v>0</v>
      </c>
      <c r="M261" t="s">
        <v>64</v>
      </c>
      <c r="N261" t="s">
        <v>44</v>
      </c>
      <c r="O261" t="s">
        <v>45</v>
      </c>
      <c r="P261" t="s">
        <v>45</v>
      </c>
      <c r="Q261" t="s">
        <v>45</v>
      </c>
      <c r="R261" s="1" t="d">
        <v>2024-12-24</v>
      </c>
      <c r="S261" t="s">
        <v>33</v>
      </c>
      <c r="T261" t="s">
        <v>46</v>
      </c>
      <c r="U261" t="s">
        <v>68</v>
      </c>
      <c r="V261" s="1" t="d">
        <v>2025-01-19</v>
      </c>
      <c r="W261" t="s">
        <v>48</v>
      </c>
      <c r="Y261" s="1" t="d">
        <f t="shared" si="12"/>
        <v>2024-12-09</v>
      </c>
      <c r="Z261">
        <f t="shared" si="13"/>
        <v>15</v>
      </c>
      <c r="AA261" t="str">
        <f t="shared" si="14"/>
        <v>No Discount</v>
      </c>
    </row>
    <row r="262" spans="1:27">
      <c r="A262" t="s">
        <v>1136</v>
      </c>
      <c r="B262" s="1" t="d">
        <v>2024-12-10</v>
      </c>
      <c r="C262" t="s">
        <v>1137</v>
      </c>
      <c r="D262" t="s">
        <v>25</v>
      </c>
      <c r="E262" t="s">
        <v>1138</v>
      </c>
      <c r="F262" t="s">
        <v>40</v>
      </c>
      <c r="G262" t="s">
        <v>1139</v>
      </c>
      <c r="H262">
        <v>3999</v>
      </c>
      <c r="I262">
        <v>1</v>
      </c>
      <c r="J262">
        <v>3999</v>
      </c>
      <c r="L262">
        <v>0</v>
      </c>
      <c r="M262" t="s">
        <v>43</v>
      </c>
      <c r="N262" t="s">
        <v>65</v>
      </c>
      <c r="O262" t="s">
        <v>118</v>
      </c>
      <c r="P262" t="s">
        <v>119</v>
      </c>
      <c r="Q262" t="s">
        <v>45</v>
      </c>
      <c r="R262" s="1" t="d">
        <v>2024-12-25</v>
      </c>
      <c r="S262" t="s">
        <v>33</v>
      </c>
      <c r="T262" t="s">
        <v>46</v>
      </c>
      <c r="U262" t="s">
        <v>47</v>
      </c>
      <c r="V262" s="1" t="d">
        <v>2025-01-22</v>
      </c>
      <c r="W262" t="s">
        <v>48</v>
      </c>
      <c r="Y262" s="1" t="d">
        <f t="shared" si="12"/>
        <v>2024-12-09</v>
      </c>
      <c r="Z262">
        <f t="shared" si="13"/>
        <v>15</v>
      </c>
      <c r="AA262" t="str">
        <f t="shared" si="14"/>
        <v>No Discount</v>
      </c>
    </row>
    <row r="263" spans="1:27">
      <c r="A263" t="s">
        <v>1140</v>
      </c>
      <c r="B263" s="1" t="d">
        <v>2024-12-10</v>
      </c>
      <c r="C263" t="s">
        <v>1141</v>
      </c>
      <c r="D263" t="s">
        <v>25</v>
      </c>
      <c r="E263" t="s">
        <v>1142</v>
      </c>
      <c r="F263" t="s">
        <v>53</v>
      </c>
      <c r="G263" t="s">
        <v>1143</v>
      </c>
      <c r="H263">
        <v>2499</v>
      </c>
      <c r="I263">
        <v>1</v>
      </c>
      <c r="J263">
        <v>2499</v>
      </c>
      <c r="K263" s="2" t="d">
        <v>2020-12-01</v>
      </c>
      <c r="L263">
        <v>20</v>
      </c>
      <c r="M263" t="s">
        <v>29</v>
      </c>
      <c r="N263" t="s">
        <v>30</v>
      </c>
      <c r="O263" t="s">
        <v>137</v>
      </c>
      <c r="P263" t="s">
        <v>113</v>
      </c>
      <c r="Q263" t="s">
        <v>45</v>
      </c>
      <c r="R263" s="1" t="d">
        <v>2024-12-25</v>
      </c>
      <c r="S263" t="s">
        <v>33</v>
      </c>
      <c r="T263" t="s">
        <v>34</v>
      </c>
      <c r="W263" t="s">
        <v>35</v>
      </c>
      <c r="Y263" s="1" t="d">
        <f t="shared" si="12"/>
        <v>2024-12-09</v>
      </c>
      <c r="Z263">
        <f t="shared" si="13"/>
        <v>15</v>
      </c>
      <c r="AA263" t="str">
        <f t="shared" si="14"/>
        <v>Low (1-20%)</v>
      </c>
    </row>
    <row r="264" spans="1:27">
      <c r="A264" t="s">
        <v>1144</v>
      </c>
      <c r="B264" s="1" t="d">
        <v>2024-12-10</v>
      </c>
      <c r="C264" t="s">
        <v>1145</v>
      </c>
      <c r="D264" t="s">
        <v>38</v>
      </c>
      <c r="E264" t="s">
        <v>1146</v>
      </c>
      <c r="F264" t="s">
        <v>61</v>
      </c>
      <c r="G264" t="s">
        <v>1147</v>
      </c>
      <c r="H264">
        <v>4899</v>
      </c>
      <c r="I264">
        <v>1</v>
      </c>
      <c r="J264">
        <v>4899</v>
      </c>
      <c r="L264">
        <v>0</v>
      </c>
      <c r="M264" t="s">
        <v>55</v>
      </c>
      <c r="N264" t="s">
        <v>44</v>
      </c>
      <c r="O264" t="s">
        <v>143</v>
      </c>
      <c r="P264" t="s">
        <v>144</v>
      </c>
      <c r="Q264" t="s">
        <v>45</v>
      </c>
      <c r="R264" s="1" t="d">
        <v>2024-12-26</v>
      </c>
      <c r="S264" t="s">
        <v>33</v>
      </c>
      <c r="T264" t="s">
        <v>46</v>
      </c>
      <c r="U264" t="s">
        <v>104</v>
      </c>
      <c r="V264" s="1" t="d">
        <v>2025-01-23</v>
      </c>
      <c r="W264" t="s">
        <v>48</v>
      </c>
      <c r="Y264" s="1" t="d">
        <f t="shared" si="12"/>
        <v>2024-12-09</v>
      </c>
      <c r="Z264">
        <f t="shared" si="13"/>
        <v>16</v>
      </c>
      <c r="AA264" t="str">
        <f t="shared" si="14"/>
        <v>No Discount</v>
      </c>
    </row>
    <row r="265" spans="1:27">
      <c r="A265" t="s">
        <v>1148</v>
      </c>
      <c r="B265" s="1" t="d">
        <v>2024-12-10</v>
      </c>
      <c r="C265" t="s">
        <v>1149</v>
      </c>
      <c r="D265" t="s">
        <v>25</v>
      </c>
      <c r="E265" t="s">
        <v>1150</v>
      </c>
      <c r="F265" t="s">
        <v>71</v>
      </c>
      <c r="G265" t="s">
        <v>1151</v>
      </c>
      <c r="H265">
        <v>1199</v>
      </c>
      <c r="I265">
        <v>1</v>
      </c>
      <c r="J265">
        <v>1199</v>
      </c>
      <c r="L265">
        <v>0</v>
      </c>
      <c r="M265" t="s">
        <v>111</v>
      </c>
      <c r="N265" t="s">
        <v>65</v>
      </c>
      <c r="O265" t="s">
        <v>150</v>
      </c>
      <c r="P265" t="s">
        <v>151</v>
      </c>
      <c r="Q265" t="s">
        <v>31</v>
      </c>
      <c r="R265" s="1" t="d">
        <v>2024-12-25</v>
      </c>
      <c r="S265" t="s">
        <v>33</v>
      </c>
      <c r="T265" t="s">
        <v>34</v>
      </c>
      <c r="W265" t="s">
        <v>35</v>
      </c>
      <c r="Y265" s="1" t="d">
        <f t="shared" si="12"/>
        <v>2024-12-09</v>
      </c>
      <c r="Z265">
        <f t="shared" si="13"/>
        <v>15</v>
      </c>
      <c r="AA265" t="str">
        <f t="shared" si="14"/>
        <v>No Discount</v>
      </c>
    </row>
    <row r="266" spans="1:27">
      <c r="A266" t="s">
        <v>1152</v>
      </c>
      <c r="B266" s="1" t="d">
        <v>2024-12-10</v>
      </c>
      <c r="C266" t="s">
        <v>1153</v>
      </c>
      <c r="D266" t="s">
        <v>25</v>
      </c>
      <c r="E266" t="s">
        <v>1154</v>
      </c>
      <c r="F266" t="s">
        <v>27</v>
      </c>
      <c r="G266" t="s">
        <v>1155</v>
      </c>
      <c r="H266">
        <v>1899</v>
      </c>
      <c r="I266">
        <v>1</v>
      </c>
      <c r="J266">
        <v>1899</v>
      </c>
      <c r="K266" s="2" t="d">
        <v>2020-12-01</v>
      </c>
      <c r="L266">
        <v>20</v>
      </c>
      <c r="M266" t="s">
        <v>64</v>
      </c>
      <c r="N266" t="s">
        <v>30</v>
      </c>
      <c r="O266" t="s">
        <v>156</v>
      </c>
      <c r="P266" t="s">
        <v>97</v>
      </c>
      <c r="Q266" t="s">
        <v>31</v>
      </c>
      <c r="R266" s="1" t="d">
        <v>2024-12-26</v>
      </c>
      <c r="S266" t="s">
        <v>33</v>
      </c>
      <c r="T266" t="s">
        <v>46</v>
      </c>
      <c r="U266" t="s">
        <v>138</v>
      </c>
      <c r="V266" s="1" t="d">
        <v>2025-01-21</v>
      </c>
      <c r="W266" t="s">
        <v>48</v>
      </c>
      <c r="Y266" s="1" t="d">
        <f t="shared" si="12"/>
        <v>2024-12-09</v>
      </c>
      <c r="Z266">
        <f t="shared" si="13"/>
        <v>16</v>
      </c>
      <c r="AA266" t="str">
        <f t="shared" si="14"/>
        <v>Low (1-20%)</v>
      </c>
    </row>
    <row r="267" spans="1:27">
      <c r="A267" t="s">
        <v>1156</v>
      </c>
      <c r="B267" s="1" t="d">
        <v>2024-12-11</v>
      </c>
      <c r="C267" t="s">
        <v>1157</v>
      </c>
      <c r="D267" t="s">
        <v>25</v>
      </c>
      <c r="E267" t="s">
        <v>1158</v>
      </c>
      <c r="F267" t="s">
        <v>40</v>
      </c>
      <c r="G267" t="s">
        <v>1159</v>
      </c>
      <c r="H267">
        <v>3599</v>
      </c>
      <c r="I267">
        <v>1</v>
      </c>
      <c r="J267">
        <v>3599</v>
      </c>
      <c r="L267">
        <v>0</v>
      </c>
      <c r="M267" t="s">
        <v>43</v>
      </c>
      <c r="N267" t="s">
        <v>44</v>
      </c>
      <c r="O267" t="s">
        <v>161</v>
      </c>
      <c r="P267" t="s">
        <v>162</v>
      </c>
      <c r="Q267" t="s">
        <v>45</v>
      </c>
      <c r="R267" s="1" t="d">
        <v>2024-12-27</v>
      </c>
      <c r="S267" t="s">
        <v>33</v>
      </c>
      <c r="T267" t="s">
        <v>34</v>
      </c>
      <c r="W267" t="s">
        <v>35</v>
      </c>
      <c r="Y267" s="1" t="d">
        <f t="shared" si="12"/>
        <v>2024-12-09</v>
      </c>
      <c r="Z267">
        <f t="shared" si="13"/>
        <v>16</v>
      </c>
      <c r="AA267" t="str">
        <f t="shared" si="14"/>
        <v>No Discount</v>
      </c>
    </row>
    <row r="268" spans="1:27">
      <c r="A268" t="s">
        <v>1160</v>
      </c>
      <c r="B268" s="1" t="d">
        <v>2024-12-11</v>
      </c>
      <c r="C268" t="s">
        <v>1161</v>
      </c>
      <c r="D268" t="s">
        <v>25</v>
      </c>
      <c r="E268" t="s">
        <v>1162</v>
      </c>
      <c r="F268" t="s">
        <v>53</v>
      </c>
      <c r="G268" t="s">
        <v>1163</v>
      </c>
      <c r="H268">
        <v>2699</v>
      </c>
      <c r="I268">
        <v>1</v>
      </c>
      <c r="J268">
        <v>2699</v>
      </c>
      <c r="L268">
        <v>0</v>
      </c>
      <c r="M268" t="s">
        <v>29</v>
      </c>
      <c r="N268" t="s">
        <v>65</v>
      </c>
      <c r="O268" t="s">
        <v>167</v>
      </c>
      <c r="P268" t="s">
        <v>151</v>
      </c>
      <c r="Q268" t="s">
        <v>31</v>
      </c>
      <c r="R268" s="1" t="d">
        <v>2024-12-27</v>
      </c>
      <c r="S268" t="s">
        <v>33</v>
      </c>
      <c r="T268" t="s">
        <v>46</v>
      </c>
      <c r="U268" t="s">
        <v>47</v>
      </c>
      <c r="V268" s="1" t="d">
        <v>2025-01-24</v>
      </c>
      <c r="W268" t="s">
        <v>48</v>
      </c>
      <c r="Y268" s="1" t="d">
        <f t="shared" si="12"/>
        <v>2024-12-09</v>
      </c>
      <c r="Z268">
        <f t="shared" si="13"/>
        <v>16</v>
      </c>
      <c r="AA268" t="str">
        <f t="shared" si="14"/>
        <v>No Discount</v>
      </c>
    </row>
    <row r="269" spans="1:27">
      <c r="A269" t="s">
        <v>1164</v>
      </c>
      <c r="B269" s="1" t="d">
        <v>2024-12-11</v>
      </c>
      <c r="C269" t="s">
        <v>1165</v>
      </c>
      <c r="D269" t="s">
        <v>38</v>
      </c>
      <c r="E269" t="s">
        <v>1166</v>
      </c>
      <c r="F269" t="s">
        <v>61</v>
      </c>
      <c r="G269" t="s">
        <v>1167</v>
      </c>
      <c r="H269">
        <v>5599</v>
      </c>
      <c r="I269">
        <v>1</v>
      </c>
      <c r="J269">
        <v>5599</v>
      </c>
      <c r="K269" s="2" t="d">
        <v>2020-12-01</v>
      </c>
      <c r="L269">
        <v>20</v>
      </c>
      <c r="M269" t="s">
        <v>55</v>
      </c>
      <c r="N269" t="s">
        <v>30</v>
      </c>
      <c r="O269" t="s">
        <v>172</v>
      </c>
      <c r="P269" t="s">
        <v>32</v>
      </c>
      <c r="Q269" t="s">
        <v>31</v>
      </c>
      <c r="R269" s="1" t="d">
        <v>2024-12-28</v>
      </c>
      <c r="S269" t="s">
        <v>33</v>
      </c>
      <c r="T269" t="s">
        <v>46</v>
      </c>
      <c r="U269" t="s">
        <v>79</v>
      </c>
      <c r="V269" s="1" t="d">
        <v>2025-01-25</v>
      </c>
      <c r="W269" t="s">
        <v>48</v>
      </c>
      <c r="Y269" s="1" t="d">
        <f t="shared" si="12"/>
        <v>2024-12-09</v>
      </c>
      <c r="Z269">
        <f t="shared" si="13"/>
        <v>17</v>
      </c>
      <c r="AA269" t="str">
        <f t="shared" si="14"/>
        <v>Low (1-20%)</v>
      </c>
    </row>
    <row r="270" spans="1:27">
      <c r="A270" t="s">
        <v>1168</v>
      </c>
      <c r="B270" s="1" t="d">
        <v>2024-12-11</v>
      </c>
      <c r="C270" t="s">
        <v>1169</v>
      </c>
      <c r="D270" t="s">
        <v>25</v>
      </c>
      <c r="E270" t="s">
        <v>1170</v>
      </c>
      <c r="F270" t="s">
        <v>71</v>
      </c>
      <c r="G270" t="s">
        <v>1171</v>
      </c>
      <c r="H270">
        <v>399</v>
      </c>
      <c r="I270">
        <v>3</v>
      </c>
      <c r="J270">
        <v>1197</v>
      </c>
      <c r="L270">
        <v>0</v>
      </c>
      <c r="M270" t="s">
        <v>111</v>
      </c>
      <c r="N270" t="s">
        <v>44</v>
      </c>
      <c r="O270" t="s">
        <v>177</v>
      </c>
      <c r="P270" t="s">
        <v>67</v>
      </c>
      <c r="Q270" t="s">
        <v>56</v>
      </c>
      <c r="R270" s="1" t="d">
        <v>2024-12-27</v>
      </c>
      <c r="S270" t="s">
        <v>33</v>
      </c>
      <c r="T270" t="s">
        <v>34</v>
      </c>
      <c r="W270" t="s">
        <v>35</v>
      </c>
      <c r="Y270" s="1" t="d">
        <f t="shared" si="12"/>
        <v>2024-12-09</v>
      </c>
      <c r="Z270">
        <f t="shared" si="13"/>
        <v>16</v>
      </c>
      <c r="AA270" t="str">
        <f t="shared" si="14"/>
        <v>No Discount</v>
      </c>
    </row>
    <row r="271" spans="1:27">
      <c r="A271" t="s">
        <v>1172</v>
      </c>
      <c r="B271" s="1" t="d">
        <v>2024-12-12</v>
      </c>
      <c r="C271" t="s">
        <v>1173</v>
      </c>
      <c r="D271" t="s">
        <v>25</v>
      </c>
      <c r="E271" t="s">
        <v>1174</v>
      </c>
      <c r="F271" t="s">
        <v>27</v>
      </c>
      <c r="G271" t="s">
        <v>1175</v>
      </c>
      <c r="H271">
        <v>2199</v>
      </c>
      <c r="I271">
        <v>1</v>
      </c>
      <c r="J271">
        <v>2199</v>
      </c>
      <c r="L271">
        <v>0</v>
      </c>
      <c r="M271" t="s">
        <v>64</v>
      </c>
      <c r="N271" t="s">
        <v>65</v>
      </c>
      <c r="O271" t="s">
        <v>182</v>
      </c>
      <c r="P271" t="s">
        <v>183</v>
      </c>
      <c r="Q271" t="s">
        <v>56</v>
      </c>
      <c r="R271" s="1" t="d">
        <v>2024-12-28</v>
      </c>
      <c r="S271" t="s">
        <v>33</v>
      </c>
      <c r="T271" t="s">
        <v>46</v>
      </c>
      <c r="U271" t="s">
        <v>68</v>
      </c>
      <c r="V271" s="1" t="d">
        <v>2025-01-23</v>
      </c>
      <c r="W271" t="s">
        <v>48</v>
      </c>
      <c r="Y271" s="1" t="d">
        <f t="shared" si="12"/>
        <v>2024-12-09</v>
      </c>
      <c r="Z271">
        <f t="shared" si="13"/>
        <v>16</v>
      </c>
      <c r="AA271" t="str">
        <f t="shared" si="14"/>
        <v>No Discount</v>
      </c>
    </row>
    <row r="272" spans="1:27">
      <c r="A272" t="s">
        <v>1176</v>
      </c>
      <c r="B272" s="1" t="d">
        <v>2024-12-12</v>
      </c>
      <c r="C272" t="s">
        <v>1177</v>
      </c>
      <c r="D272" t="s">
        <v>25</v>
      </c>
      <c r="E272" t="s">
        <v>1178</v>
      </c>
      <c r="F272" t="s">
        <v>40</v>
      </c>
      <c r="G272" t="s">
        <v>1179</v>
      </c>
      <c r="H272">
        <v>4299</v>
      </c>
      <c r="I272">
        <v>1</v>
      </c>
      <c r="J272">
        <v>4299</v>
      </c>
      <c r="K272" s="2" t="d">
        <v>2020-12-01</v>
      </c>
      <c r="L272">
        <v>20</v>
      </c>
      <c r="M272" t="s">
        <v>43</v>
      </c>
      <c r="N272" t="s">
        <v>30</v>
      </c>
      <c r="O272" t="s">
        <v>188</v>
      </c>
      <c r="P272" t="s">
        <v>189</v>
      </c>
      <c r="Q272" t="s">
        <v>56</v>
      </c>
      <c r="R272" s="1" t="d">
        <v>2024-12-29</v>
      </c>
      <c r="S272" t="s">
        <v>33</v>
      </c>
      <c r="T272" t="s">
        <v>34</v>
      </c>
      <c r="W272" t="s">
        <v>35</v>
      </c>
      <c r="Y272" s="1" t="d">
        <f t="shared" si="12"/>
        <v>2024-12-09</v>
      </c>
      <c r="Z272">
        <f t="shared" si="13"/>
        <v>17</v>
      </c>
      <c r="AA272" t="str">
        <f t="shared" si="14"/>
        <v>Low (1-20%)</v>
      </c>
    </row>
    <row r="273" spans="1:27">
      <c r="A273" t="s">
        <v>1180</v>
      </c>
      <c r="B273" s="1" t="d">
        <v>2024-12-12</v>
      </c>
      <c r="C273" t="s">
        <v>1181</v>
      </c>
      <c r="D273" t="s">
        <v>25</v>
      </c>
      <c r="E273" t="s">
        <v>1182</v>
      </c>
      <c r="F273" t="s">
        <v>53</v>
      </c>
      <c r="G273" t="s">
        <v>1183</v>
      </c>
      <c r="H273">
        <v>2399</v>
      </c>
      <c r="I273">
        <v>1</v>
      </c>
      <c r="J273">
        <v>2399</v>
      </c>
      <c r="L273">
        <v>0</v>
      </c>
      <c r="M273" t="s">
        <v>29</v>
      </c>
      <c r="N273" t="s">
        <v>44</v>
      </c>
      <c r="O273" t="s">
        <v>194</v>
      </c>
      <c r="P273" t="s">
        <v>183</v>
      </c>
      <c r="Q273" t="s">
        <v>56</v>
      </c>
      <c r="R273" s="1" t="d">
        <v>2024-12-29</v>
      </c>
      <c r="S273" t="s">
        <v>33</v>
      </c>
      <c r="T273" t="s">
        <v>46</v>
      </c>
      <c r="U273" t="s">
        <v>104</v>
      </c>
      <c r="V273" s="1" t="d">
        <v>2025-01-26</v>
      </c>
      <c r="W273" t="s">
        <v>48</v>
      </c>
      <c r="Y273" s="1" t="d">
        <f t="shared" si="12"/>
        <v>2024-12-09</v>
      </c>
      <c r="Z273">
        <f t="shared" si="13"/>
        <v>17</v>
      </c>
      <c r="AA273" t="str">
        <f t="shared" si="14"/>
        <v>No Discount</v>
      </c>
    </row>
    <row r="274" spans="1:27">
      <c r="A274" t="s">
        <v>1184</v>
      </c>
      <c r="B274" s="1" t="d">
        <v>2024-12-12</v>
      </c>
      <c r="C274" t="s">
        <v>1185</v>
      </c>
      <c r="D274" t="s">
        <v>38</v>
      </c>
      <c r="E274" t="s">
        <v>1186</v>
      </c>
      <c r="F274" t="s">
        <v>61</v>
      </c>
      <c r="G274" t="s">
        <v>1187</v>
      </c>
      <c r="H274">
        <v>6299</v>
      </c>
      <c r="I274">
        <v>1</v>
      </c>
      <c r="J274">
        <v>6299</v>
      </c>
      <c r="L274">
        <v>0</v>
      </c>
      <c r="M274" t="s">
        <v>55</v>
      </c>
      <c r="N274" t="s">
        <v>65</v>
      </c>
      <c r="O274" t="s">
        <v>199</v>
      </c>
      <c r="P274" t="s">
        <v>57</v>
      </c>
      <c r="Q274" t="s">
        <v>56</v>
      </c>
      <c r="S274" t="s">
        <v>120</v>
      </c>
      <c r="T274" t="s">
        <v>34</v>
      </c>
      <c r="W274" t="s">
        <v>35</v>
      </c>
      <c r="Y274" s="1" t="d">
        <f t="shared" si="12"/>
        <v>2024-12-09</v>
      </c>
      <c r="Z274" t="str">
        <f t="shared" si="13"/>
        <v/>
      </c>
      <c r="AA274" t="str">
        <f t="shared" si="14"/>
        <v>No Discount</v>
      </c>
    </row>
    <row r="275" spans="1:27">
      <c r="A275" t="s">
        <v>1188</v>
      </c>
      <c r="B275" s="1" t="d">
        <v>2024-12-13</v>
      </c>
      <c r="C275" t="s">
        <v>1189</v>
      </c>
      <c r="D275" t="s">
        <v>25</v>
      </c>
      <c r="E275" t="s">
        <v>1190</v>
      </c>
      <c r="F275" t="s">
        <v>71</v>
      </c>
      <c r="G275" t="s">
        <v>1191</v>
      </c>
      <c r="H275">
        <v>599</v>
      </c>
      <c r="I275">
        <v>2</v>
      </c>
      <c r="J275">
        <v>1198</v>
      </c>
      <c r="K275" s="2" t="d">
        <v>2020-12-01</v>
      </c>
      <c r="L275">
        <v>20</v>
      </c>
      <c r="M275" t="s">
        <v>111</v>
      </c>
      <c r="N275" t="s">
        <v>30</v>
      </c>
      <c r="O275" t="s">
        <v>204</v>
      </c>
      <c r="P275" t="s">
        <v>97</v>
      </c>
      <c r="Q275" t="s">
        <v>31</v>
      </c>
      <c r="R275" s="1" t="d">
        <v>2024-12-29</v>
      </c>
      <c r="S275" t="s">
        <v>33</v>
      </c>
      <c r="T275" t="s">
        <v>34</v>
      </c>
      <c r="W275" t="s">
        <v>35</v>
      </c>
      <c r="Y275" s="1" t="d">
        <f t="shared" si="12"/>
        <v>2024-12-09</v>
      </c>
      <c r="Z275">
        <f t="shared" si="13"/>
        <v>16</v>
      </c>
      <c r="AA275" t="str">
        <f t="shared" si="14"/>
        <v>Low (1-20%)</v>
      </c>
    </row>
    <row r="276" spans="1:27">
      <c r="A276" t="s">
        <v>1192</v>
      </c>
      <c r="B276" s="1" t="d">
        <v>2024-12-13</v>
      </c>
      <c r="C276" t="s">
        <v>1193</v>
      </c>
      <c r="D276" t="s">
        <v>25</v>
      </c>
      <c r="E276" t="s">
        <v>1194</v>
      </c>
      <c r="F276" t="s">
        <v>27</v>
      </c>
      <c r="G276" t="s">
        <v>1195</v>
      </c>
      <c r="H276">
        <v>2399</v>
      </c>
      <c r="I276">
        <v>1</v>
      </c>
      <c r="J276">
        <v>2399</v>
      </c>
      <c r="L276">
        <v>0</v>
      </c>
      <c r="M276" t="s">
        <v>64</v>
      </c>
      <c r="N276" t="s">
        <v>44</v>
      </c>
      <c r="O276" t="s">
        <v>209</v>
      </c>
      <c r="P276" t="s">
        <v>97</v>
      </c>
      <c r="Q276" t="s">
        <v>31</v>
      </c>
      <c r="R276" s="1" t="d">
        <v>2024-12-30</v>
      </c>
      <c r="S276" t="s">
        <v>33</v>
      </c>
      <c r="T276" t="s">
        <v>46</v>
      </c>
      <c r="U276" t="s">
        <v>47</v>
      </c>
      <c r="V276" s="1" t="d">
        <v>2025-01-27</v>
      </c>
      <c r="W276" t="s">
        <v>48</v>
      </c>
      <c r="Y276" s="1" t="d">
        <f t="shared" si="12"/>
        <v>2024-12-09</v>
      </c>
      <c r="Z276">
        <f t="shared" si="13"/>
        <v>17</v>
      </c>
      <c r="AA276" t="str">
        <f t="shared" si="14"/>
        <v>No Discount</v>
      </c>
    </row>
    <row r="277" spans="1:27">
      <c r="A277" t="s">
        <v>1196</v>
      </c>
      <c r="B277" s="1" t="d">
        <v>2024-12-13</v>
      </c>
      <c r="C277" t="s">
        <v>1197</v>
      </c>
      <c r="D277" t="s">
        <v>25</v>
      </c>
      <c r="E277" t="s">
        <v>1198</v>
      </c>
      <c r="F277" t="s">
        <v>40</v>
      </c>
      <c r="G277" t="s">
        <v>1199</v>
      </c>
      <c r="H277">
        <v>5999</v>
      </c>
      <c r="I277">
        <v>1</v>
      </c>
      <c r="J277">
        <v>5999</v>
      </c>
      <c r="L277">
        <v>0</v>
      </c>
      <c r="M277" t="s">
        <v>43</v>
      </c>
      <c r="N277" t="s">
        <v>65</v>
      </c>
      <c r="O277" t="s">
        <v>214</v>
      </c>
      <c r="P277" t="s">
        <v>113</v>
      </c>
      <c r="Q277" t="s">
        <v>45</v>
      </c>
      <c r="R277" s="1" t="d">
        <v>2024-12-31</v>
      </c>
      <c r="S277" t="s">
        <v>33</v>
      </c>
      <c r="T277" t="s">
        <v>46</v>
      </c>
      <c r="U277" t="s">
        <v>138</v>
      </c>
      <c r="V277" s="1" t="d">
        <v>2025-01-28</v>
      </c>
      <c r="W277" t="s">
        <v>48</v>
      </c>
      <c r="Y277" s="1" t="d">
        <f t="shared" si="12"/>
        <v>2024-12-09</v>
      </c>
      <c r="Z277">
        <f t="shared" si="13"/>
        <v>18</v>
      </c>
      <c r="AA277" t="str">
        <f t="shared" si="14"/>
        <v>No Discount</v>
      </c>
    </row>
    <row r="278" spans="1:27">
      <c r="A278" t="s">
        <v>1200</v>
      </c>
      <c r="B278" s="1" t="d">
        <v>2024-12-13</v>
      </c>
      <c r="C278" t="s">
        <v>1201</v>
      </c>
      <c r="D278" t="s">
        <v>25</v>
      </c>
      <c r="E278" t="s">
        <v>1202</v>
      </c>
      <c r="F278" t="s">
        <v>53</v>
      </c>
      <c r="G278" t="s">
        <v>1203</v>
      </c>
      <c r="H278">
        <v>1899</v>
      </c>
      <c r="I278">
        <v>1</v>
      </c>
      <c r="J278">
        <v>1899</v>
      </c>
      <c r="K278" s="2" t="d">
        <v>2020-12-01</v>
      </c>
      <c r="L278">
        <v>20</v>
      </c>
      <c r="M278" t="s">
        <v>29</v>
      </c>
      <c r="N278" t="s">
        <v>30</v>
      </c>
      <c r="O278" t="s">
        <v>31</v>
      </c>
      <c r="P278" t="s">
        <v>32</v>
      </c>
      <c r="Q278" t="s">
        <v>31</v>
      </c>
      <c r="R278" s="1" t="d">
        <v>2024-12-30</v>
      </c>
      <c r="S278" t="s">
        <v>33</v>
      </c>
      <c r="T278" t="s">
        <v>34</v>
      </c>
      <c r="W278" t="s">
        <v>35</v>
      </c>
      <c r="Y278" s="1" t="d">
        <f t="shared" si="12"/>
        <v>2024-12-09</v>
      </c>
      <c r="Z278">
        <f t="shared" si="13"/>
        <v>17</v>
      </c>
      <c r="AA278" t="str">
        <f t="shared" si="14"/>
        <v>Low (1-20%)</v>
      </c>
    </row>
    <row r="279" spans="1:27">
      <c r="A279" t="s">
        <v>1204</v>
      </c>
      <c r="B279" s="1" t="d">
        <v>2024-12-14</v>
      </c>
      <c r="C279" t="s">
        <v>1205</v>
      </c>
      <c r="D279" t="s">
        <v>38</v>
      </c>
      <c r="E279" t="s">
        <v>1206</v>
      </c>
      <c r="F279" t="s">
        <v>61</v>
      </c>
      <c r="G279" t="s">
        <v>1207</v>
      </c>
      <c r="H279">
        <v>4999</v>
      </c>
      <c r="I279">
        <v>1</v>
      </c>
      <c r="J279">
        <v>4999</v>
      </c>
      <c r="L279">
        <v>0</v>
      </c>
      <c r="M279" t="s">
        <v>55</v>
      </c>
      <c r="N279" t="s">
        <v>44</v>
      </c>
      <c r="O279" t="s">
        <v>45</v>
      </c>
      <c r="P279" t="s">
        <v>45</v>
      </c>
      <c r="Q279" t="s">
        <v>45</v>
      </c>
      <c r="R279" s="1" t="d">
        <v>2024-12-31</v>
      </c>
      <c r="S279" t="s">
        <v>33</v>
      </c>
      <c r="T279" t="s">
        <v>46</v>
      </c>
      <c r="U279" t="s">
        <v>79</v>
      </c>
      <c r="V279" s="1" t="d">
        <v>2025-01-29</v>
      </c>
      <c r="W279" t="s">
        <v>48</v>
      </c>
      <c r="Y279" s="1" t="d">
        <f t="shared" si="12"/>
        <v>2024-12-09</v>
      </c>
      <c r="Z279">
        <f t="shared" si="13"/>
        <v>17</v>
      </c>
      <c r="AA279" t="str">
        <f t="shared" si="14"/>
        <v>No Discount</v>
      </c>
    </row>
    <row r="280" spans="1:27">
      <c r="A280" t="s">
        <v>1208</v>
      </c>
      <c r="B280" s="1" t="d">
        <v>2024-12-14</v>
      </c>
      <c r="C280" t="s">
        <v>1209</v>
      </c>
      <c r="D280" t="s">
        <v>25</v>
      </c>
      <c r="E280" t="s">
        <v>1210</v>
      </c>
      <c r="F280" t="s">
        <v>71</v>
      </c>
      <c r="G280" t="s">
        <v>1211</v>
      </c>
      <c r="H280">
        <v>1699</v>
      </c>
      <c r="I280">
        <v>1</v>
      </c>
      <c r="J280">
        <v>1699</v>
      </c>
      <c r="L280">
        <v>0</v>
      </c>
      <c r="M280" t="s">
        <v>111</v>
      </c>
      <c r="N280" t="s">
        <v>65</v>
      </c>
      <c r="O280" t="s">
        <v>90</v>
      </c>
      <c r="P280" t="s">
        <v>91</v>
      </c>
      <c r="Q280" t="s">
        <v>45</v>
      </c>
      <c r="R280" s="1" t="d">
        <v>2024-12-30</v>
      </c>
      <c r="S280" t="s">
        <v>33</v>
      </c>
      <c r="T280" t="s">
        <v>46</v>
      </c>
      <c r="U280" t="s">
        <v>68</v>
      </c>
      <c r="V280" s="1" t="d">
        <v>2025-01-26</v>
      </c>
      <c r="W280" t="s">
        <v>48</v>
      </c>
      <c r="Y280" s="1" t="d">
        <f t="shared" si="12"/>
        <v>2024-12-09</v>
      </c>
      <c r="Z280">
        <f t="shared" si="13"/>
        <v>16</v>
      </c>
      <c r="AA280" t="str">
        <f t="shared" si="14"/>
        <v>No Discount</v>
      </c>
    </row>
    <row r="281" spans="1:27">
      <c r="A281" t="s">
        <v>1212</v>
      </c>
      <c r="B281" s="1" t="d">
        <v>2024-12-14</v>
      </c>
      <c r="C281" t="s">
        <v>1213</v>
      </c>
      <c r="D281" t="s">
        <v>25</v>
      </c>
      <c r="E281" t="s">
        <v>1214</v>
      </c>
      <c r="F281" t="s">
        <v>27</v>
      </c>
      <c r="G281" t="s">
        <v>1215</v>
      </c>
      <c r="H281">
        <v>2099</v>
      </c>
      <c r="I281">
        <v>1</v>
      </c>
      <c r="J281">
        <v>2099</v>
      </c>
      <c r="K281" s="2" t="d">
        <v>2020-12-01</v>
      </c>
      <c r="L281">
        <v>20</v>
      </c>
      <c r="M281" t="s">
        <v>64</v>
      </c>
      <c r="N281" t="s">
        <v>30</v>
      </c>
      <c r="O281" t="s">
        <v>66</v>
      </c>
      <c r="P281" t="s">
        <v>67</v>
      </c>
      <c r="Q281" t="s">
        <v>56</v>
      </c>
      <c r="R281" s="1" t="d">
        <v>2024-12-31</v>
      </c>
      <c r="S281" t="s">
        <v>33</v>
      </c>
      <c r="T281" t="s">
        <v>34</v>
      </c>
      <c r="W281" t="s">
        <v>35</v>
      </c>
      <c r="Y281" s="1" t="d">
        <f t="shared" si="12"/>
        <v>2024-12-09</v>
      </c>
      <c r="Z281">
        <f t="shared" si="13"/>
        <v>17</v>
      </c>
      <c r="AA281" t="str">
        <f t="shared" si="14"/>
        <v>Low (1-20%)</v>
      </c>
    </row>
    <row r="282" spans="1:27">
      <c r="A282" t="s">
        <v>1216</v>
      </c>
      <c r="B282" s="1" t="d">
        <v>2024-12-14</v>
      </c>
      <c r="C282" t="s">
        <v>1217</v>
      </c>
      <c r="D282" t="s">
        <v>25</v>
      </c>
      <c r="E282" t="s">
        <v>217</v>
      </c>
      <c r="F282" t="s">
        <v>40</v>
      </c>
      <c r="G282" t="s">
        <v>1218</v>
      </c>
      <c r="H282">
        <v>4599</v>
      </c>
      <c r="I282">
        <v>1</v>
      </c>
      <c r="J282">
        <v>4599</v>
      </c>
      <c r="L282">
        <v>0</v>
      </c>
      <c r="M282" t="s">
        <v>43</v>
      </c>
      <c r="N282" t="s">
        <v>44</v>
      </c>
      <c r="O282" t="s">
        <v>77</v>
      </c>
      <c r="P282" t="s">
        <v>78</v>
      </c>
      <c r="Q282" t="s">
        <v>56</v>
      </c>
      <c r="R282" s="1" t="d">
        <v>2025-01-02</v>
      </c>
      <c r="S282" t="s">
        <v>33</v>
      </c>
      <c r="T282" t="s">
        <v>46</v>
      </c>
      <c r="U282" t="s">
        <v>47</v>
      </c>
      <c r="V282" s="1" t="d">
        <v>2025-01-30</v>
      </c>
      <c r="W282" t="s">
        <v>48</v>
      </c>
      <c r="Y282" s="1" t="d">
        <f t="shared" si="12"/>
        <v>2024-12-09</v>
      </c>
      <c r="Z282">
        <f t="shared" si="13"/>
        <v>19</v>
      </c>
      <c r="AA282" t="str">
        <f t="shared" si="14"/>
        <v>No Discount</v>
      </c>
    </row>
    <row r="283" spans="1:27">
      <c r="A283" t="s">
        <v>1219</v>
      </c>
      <c r="B283" s="1" t="d">
        <v>2024-12-15</v>
      </c>
      <c r="C283" t="s">
        <v>1220</v>
      </c>
      <c r="D283" t="s">
        <v>25</v>
      </c>
      <c r="E283" t="s">
        <v>1221</v>
      </c>
      <c r="F283" t="s">
        <v>53</v>
      </c>
      <c r="G283" t="s">
        <v>1222</v>
      </c>
      <c r="H283">
        <v>2299</v>
      </c>
      <c r="I283">
        <v>1</v>
      </c>
      <c r="J283">
        <v>2299</v>
      </c>
      <c r="L283">
        <v>0</v>
      </c>
      <c r="M283" t="s">
        <v>29</v>
      </c>
      <c r="N283" t="s">
        <v>65</v>
      </c>
      <c r="O283" t="s">
        <v>84</v>
      </c>
      <c r="P283" t="s">
        <v>32</v>
      </c>
      <c r="Q283" t="s">
        <v>31</v>
      </c>
      <c r="R283" s="1" t="d">
        <v>2025-01-02</v>
      </c>
      <c r="S283" t="s">
        <v>33</v>
      </c>
      <c r="T283" t="s">
        <v>34</v>
      </c>
      <c r="W283" t="s">
        <v>35</v>
      </c>
      <c r="Y283" s="1" t="d">
        <f t="shared" si="12"/>
        <v>2024-12-09</v>
      </c>
      <c r="Z283">
        <f t="shared" si="13"/>
        <v>18</v>
      </c>
      <c r="AA283" t="str">
        <f t="shared" si="14"/>
        <v>No Discount</v>
      </c>
    </row>
    <row r="284" spans="1:27">
      <c r="A284" t="s">
        <v>1223</v>
      </c>
      <c r="B284" s="1" t="d">
        <v>2024-12-15</v>
      </c>
      <c r="C284" t="s">
        <v>1224</v>
      </c>
      <c r="D284" t="s">
        <v>38</v>
      </c>
      <c r="E284" t="s">
        <v>1225</v>
      </c>
      <c r="F284" t="s">
        <v>61</v>
      </c>
      <c r="G284" t="s">
        <v>1226</v>
      </c>
      <c r="H284">
        <v>5799</v>
      </c>
      <c r="I284">
        <v>1</v>
      </c>
      <c r="J284">
        <v>5799</v>
      </c>
      <c r="K284" s="2" t="d">
        <v>2020-12-01</v>
      </c>
      <c r="L284">
        <v>20</v>
      </c>
      <c r="M284" t="s">
        <v>55</v>
      </c>
      <c r="N284" t="s">
        <v>30</v>
      </c>
      <c r="O284" t="s">
        <v>96</v>
      </c>
      <c r="P284" t="s">
        <v>97</v>
      </c>
      <c r="Q284" t="s">
        <v>31</v>
      </c>
      <c r="R284" s="1" t="d">
        <v>2025-01-03</v>
      </c>
      <c r="S284" t="s">
        <v>33</v>
      </c>
      <c r="T284" t="s">
        <v>46</v>
      </c>
      <c r="U284" t="s">
        <v>104</v>
      </c>
      <c r="V284" s="1" t="d">
        <v>2025-01-31</v>
      </c>
      <c r="W284" t="s">
        <v>48</v>
      </c>
      <c r="Y284" s="1" t="d">
        <f t="shared" si="12"/>
        <v>2024-12-09</v>
      </c>
      <c r="Z284">
        <f t="shared" si="13"/>
        <v>19</v>
      </c>
      <c r="AA284" t="str">
        <f t="shared" si="14"/>
        <v>Low (1-20%)</v>
      </c>
    </row>
    <row r="285" spans="1:27">
      <c r="A285" t="s">
        <v>1227</v>
      </c>
      <c r="B285" s="1" t="d">
        <v>2024-12-15</v>
      </c>
      <c r="C285" t="s">
        <v>1228</v>
      </c>
      <c r="D285" t="s">
        <v>25</v>
      </c>
      <c r="E285" t="s">
        <v>1229</v>
      </c>
      <c r="F285" t="s">
        <v>71</v>
      </c>
      <c r="G285" t="s">
        <v>1230</v>
      </c>
      <c r="H285">
        <v>799</v>
      </c>
      <c r="I285">
        <v>2</v>
      </c>
      <c r="J285">
        <v>1598</v>
      </c>
      <c r="L285">
        <v>0</v>
      </c>
      <c r="M285" t="s">
        <v>111</v>
      </c>
      <c r="N285" t="s">
        <v>44</v>
      </c>
      <c r="O285" t="s">
        <v>102</v>
      </c>
      <c r="P285" t="s">
        <v>103</v>
      </c>
      <c r="Q285" t="s">
        <v>45</v>
      </c>
      <c r="R285" s="1" t="d">
        <v>2025-01-02</v>
      </c>
      <c r="S285" t="s">
        <v>33</v>
      </c>
      <c r="T285" t="s">
        <v>34</v>
      </c>
      <c r="W285" t="s">
        <v>35</v>
      </c>
      <c r="Y285" s="1" t="d">
        <f t="shared" si="12"/>
        <v>2024-12-09</v>
      </c>
      <c r="Z285">
        <f t="shared" si="13"/>
        <v>18</v>
      </c>
      <c r="AA285" t="str">
        <f t="shared" si="14"/>
        <v>No Discount</v>
      </c>
    </row>
    <row r="286" spans="1:27">
      <c r="A286" t="s">
        <v>1231</v>
      </c>
      <c r="B286" s="1" t="d">
        <v>2024-12-15</v>
      </c>
      <c r="C286" t="s">
        <v>1232</v>
      </c>
      <c r="D286" t="s">
        <v>25</v>
      </c>
      <c r="E286" t="s">
        <v>1233</v>
      </c>
      <c r="F286" t="s">
        <v>27</v>
      </c>
      <c r="G286" t="s">
        <v>1234</v>
      </c>
      <c r="H286">
        <v>1999</v>
      </c>
      <c r="I286">
        <v>1</v>
      </c>
      <c r="J286">
        <v>1999</v>
      </c>
      <c r="L286">
        <v>0</v>
      </c>
      <c r="M286" t="s">
        <v>64</v>
      </c>
      <c r="N286" t="s">
        <v>65</v>
      </c>
      <c r="O286" t="s">
        <v>112</v>
      </c>
      <c r="P286" t="s">
        <v>113</v>
      </c>
      <c r="Q286" t="s">
        <v>45</v>
      </c>
      <c r="R286" s="1" t="d">
        <v>2025-01-03</v>
      </c>
      <c r="S286" t="s">
        <v>33</v>
      </c>
      <c r="T286" t="s">
        <v>46</v>
      </c>
      <c r="U286" t="s">
        <v>138</v>
      </c>
      <c r="V286" s="1" t="d">
        <v>2025-01-30</v>
      </c>
      <c r="W286" t="s">
        <v>48</v>
      </c>
      <c r="Y286" s="1" t="d">
        <f t="shared" si="12"/>
        <v>2024-12-09</v>
      </c>
      <c r="Z286">
        <f t="shared" si="13"/>
        <v>19</v>
      </c>
      <c r="AA286" t="str">
        <f t="shared" si="14"/>
        <v>No Discount</v>
      </c>
    </row>
    <row r="287" spans="1:27">
      <c r="A287" t="s">
        <v>1235</v>
      </c>
      <c r="B287" s="1" t="d">
        <v>2024-12-16</v>
      </c>
      <c r="C287" t="s">
        <v>1236</v>
      </c>
      <c r="D287" t="s">
        <v>25</v>
      </c>
      <c r="E287" t="s">
        <v>1237</v>
      </c>
      <c r="F287" t="s">
        <v>40</v>
      </c>
      <c r="G287" t="s">
        <v>1238</v>
      </c>
      <c r="H287">
        <v>3899</v>
      </c>
      <c r="I287">
        <v>1</v>
      </c>
      <c r="J287">
        <v>3899</v>
      </c>
      <c r="K287" s="2" t="d">
        <v>2020-12-01</v>
      </c>
      <c r="L287">
        <v>20</v>
      </c>
      <c r="M287" t="s">
        <v>43</v>
      </c>
      <c r="N287" t="s">
        <v>30</v>
      </c>
      <c r="O287" t="s">
        <v>56</v>
      </c>
      <c r="P287" t="s">
        <v>57</v>
      </c>
      <c r="Q287" t="s">
        <v>56</v>
      </c>
      <c r="R287" s="1" t="d">
        <v>2025-01-04</v>
      </c>
      <c r="S287" t="s">
        <v>33</v>
      </c>
      <c r="T287" t="s">
        <v>46</v>
      </c>
      <c r="U287" t="s">
        <v>47</v>
      </c>
      <c r="V287" s="1" t="d">
        <v>2025-02-01</v>
      </c>
      <c r="W287" t="s">
        <v>48</v>
      </c>
      <c r="Y287" s="1" t="d">
        <f t="shared" si="12"/>
        <v>2024-12-16</v>
      </c>
      <c r="Z287">
        <f t="shared" si="13"/>
        <v>19</v>
      </c>
      <c r="AA287" t="str">
        <f t="shared" si="14"/>
        <v>Low (1-20%)</v>
      </c>
    </row>
    <row r="288" spans="1:27">
      <c r="A288" t="s">
        <v>1239</v>
      </c>
      <c r="B288" s="1" t="d">
        <v>2024-12-16</v>
      </c>
      <c r="C288" t="s">
        <v>1240</v>
      </c>
      <c r="D288" t="s">
        <v>25</v>
      </c>
      <c r="E288" t="s">
        <v>1241</v>
      </c>
      <c r="F288" t="s">
        <v>53</v>
      </c>
      <c r="G288" t="s">
        <v>1242</v>
      </c>
      <c r="H288">
        <v>2599</v>
      </c>
      <c r="I288">
        <v>1</v>
      </c>
      <c r="J288">
        <v>2599</v>
      </c>
      <c r="L288">
        <v>0</v>
      </c>
      <c r="M288" t="s">
        <v>29</v>
      </c>
      <c r="N288" t="s">
        <v>44</v>
      </c>
      <c r="O288" t="s">
        <v>31</v>
      </c>
      <c r="P288" t="s">
        <v>32</v>
      </c>
      <c r="Q288" t="s">
        <v>31</v>
      </c>
      <c r="R288" s="1" t="d">
        <v>2025-01-04</v>
      </c>
      <c r="S288" t="s">
        <v>33</v>
      </c>
      <c r="T288" t="s">
        <v>34</v>
      </c>
      <c r="W288" t="s">
        <v>35</v>
      </c>
      <c r="Y288" s="1" t="d">
        <f t="shared" si="12"/>
        <v>2024-12-16</v>
      </c>
      <c r="Z288">
        <f t="shared" si="13"/>
        <v>19</v>
      </c>
      <c r="AA288" t="str">
        <f t="shared" si="14"/>
        <v>No Discount</v>
      </c>
    </row>
    <row r="289" spans="1:27">
      <c r="A289" t="s">
        <v>1243</v>
      </c>
      <c r="B289" s="1" t="d">
        <v>2024-12-16</v>
      </c>
      <c r="C289" t="s">
        <v>1244</v>
      </c>
      <c r="D289" t="s">
        <v>25</v>
      </c>
      <c r="E289" t="s">
        <v>1245</v>
      </c>
      <c r="F289" t="s">
        <v>61</v>
      </c>
      <c r="G289" t="s">
        <v>1246</v>
      </c>
      <c r="H289">
        <v>5299</v>
      </c>
      <c r="I289">
        <v>1</v>
      </c>
      <c r="J289">
        <v>5299</v>
      </c>
      <c r="L289">
        <v>0</v>
      </c>
      <c r="M289" t="s">
        <v>55</v>
      </c>
      <c r="N289" t="s">
        <v>65</v>
      </c>
      <c r="O289" t="s">
        <v>45</v>
      </c>
      <c r="P289" t="s">
        <v>45</v>
      </c>
      <c r="Q289" t="s">
        <v>45</v>
      </c>
      <c r="R289" s="1" t="d">
        <v>2025-01-05</v>
      </c>
      <c r="S289" t="s">
        <v>33</v>
      </c>
      <c r="T289" t="s">
        <v>46</v>
      </c>
      <c r="U289" t="s">
        <v>79</v>
      </c>
      <c r="V289" s="1" t="d">
        <v>2025-02-02</v>
      </c>
      <c r="W289" t="s">
        <v>48</v>
      </c>
      <c r="Y289" s="1" t="d">
        <f t="shared" si="12"/>
        <v>2024-12-16</v>
      </c>
      <c r="Z289">
        <f t="shared" si="13"/>
        <v>20</v>
      </c>
      <c r="AA289" t="str">
        <f t="shared" si="14"/>
        <v>No Discount</v>
      </c>
    </row>
    <row r="290" spans="1:27">
      <c r="A290" t="s">
        <v>1247</v>
      </c>
      <c r="B290" s="1" t="d">
        <v>2024-12-16</v>
      </c>
      <c r="C290" t="s">
        <v>1248</v>
      </c>
      <c r="D290" t="s">
        <v>38</v>
      </c>
      <c r="E290" t="s">
        <v>1249</v>
      </c>
      <c r="F290" t="s">
        <v>71</v>
      </c>
      <c r="G290" t="s">
        <v>1250</v>
      </c>
      <c r="H290">
        <v>1399</v>
      </c>
      <c r="I290">
        <v>1</v>
      </c>
      <c r="J290">
        <v>1399</v>
      </c>
      <c r="K290" s="2" t="d">
        <v>2020-12-01</v>
      </c>
      <c r="L290">
        <v>20</v>
      </c>
      <c r="M290" t="s">
        <v>111</v>
      </c>
      <c r="N290" t="s">
        <v>30</v>
      </c>
      <c r="O290" t="s">
        <v>118</v>
      </c>
      <c r="P290" t="s">
        <v>119</v>
      </c>
      <c r="Q290" t="s">
        <v>45</v>
      </c>
      <c r="R290" s="1" t="d">
        <v>2025-01-04</v>
      </c>
      <c r="S290" t="s">
        <v>33</v>
      </c>
      <c r="T290" t="s">
        <v>34</v>
      </c>
      <c r="W290" t="s">
        <v>35</v>
      </c>
      <c r="Y290" s="1" t="d">
        <f t="shared" si="12"/>
        <v>2024-12-16</v>
      </c>
      <c r="Z290">
        <f t="shared" si="13"/>
        <v>19</v>
      </c>
      <c r="AA290" t="str">
        <f t="shared" si="14"/>
        <v>Low (1-20%)</v>
      </c>
    </row>
    <row r="291" spans="1:27">
      <c r="A291" t="s">
        <v>1251</v>
      </c>
      <c r="B291" s="1" t="d">
        <v>2024-12-17</v>
      </c>
      <c r="C291" t="s">
        <v>1252</v>
      </c>
      <c r="D291" t="s">
        <v>25</v>
      </c>
      <c r="E291" t="s">
        <v>1253</v>
      </c>
      <c r="F291" t="s">
        <v>27</v>
      </c>
      <c r="G291" t="s">
        <v>1254</v>
      </c>
      <c r="H291">
        <v>1799</v>
      </c>
      <c r="I291">
        <v>1</v>
      </c>
      <c r="J291">
        <v>1799</v>
      </c>
      <c r="L291">
        <v>0</v>
      </c>
      <c r="M291" t="s">
        <v>64</v>
      </c>
      <c r="N291" t="s">
        <v>44</v>
      </c>
      <c r="O291" t="s">
        <v>137</v>
      </c>
      <c r="P291" t="s">
        <v>113</v>
      </c>
      <c r="Q291" t="s">
        <v>45</v>
      </c>
      <c r="R291" s="1" t="d">
        <v>2025-01-05</v>
      </c>
      <c r="S291" t="s">
        <v>33</v>
      </c>
      <c r="T291" t="s">
        <v>46</v>
      </c>
      <c r="U291" t="s">
        <v>68</v>
      </c>
      <c r="V291" s="1" t="d">
        <v>2025-02-01</v>
      </c>
      <c r="W291" t="s">
        <v>48</v>
      </c>
      <c r="Y291" s="1" t="d">
        <f t="shared" si="12"/>
        <v>2024-12-16</v>
      </c>
      <c r="Z291">
        <f t="shared" si="13"/>
        <v>19</v>
      </c>
      <c r="AA291" t="str">
        <f t="shared" si="14"/>
        <v>No Discount</v>
      </c>
    </row>
    <row r="292" spans="1:27">
      <c r="A292" t="s">
        <v>1255</v>
      </c>
      <c r="B292" s="1" t="d">
        <v>2024-12-17</v>
      </c>
      <c r="C292" t="s">
        <v>1256</v>
      </c>
      <c r="D292" t="s">
        <v>25</v>
      </c>
      <c r="E292" t="s">
        <v>1257</v>
      </c>
      <c r="F292" t="s">
        <v>40</v>
      </c>
      <c r="G292" t="s">
        <v>1258</v>
      </c>
      <c r="H292">
        <v>4199</v>
      </c>
      <c r="I292">
        <v>1</v>
      </c>
      <c r="J292">
        <v>4199</v>
      </c>
      <c r="L292">
        <v>0</v>
      </c>
      <c r="M292" t="s">
        <v>43</v>
      </c>
      <c r="N292" t="s">
        <v>65</v>
      </c>
      <c r="O292" t="s">
        <v>143</v>
      </c>
      <c r="P292" t="s">
        <v>144</v>
      </c>
      <c r="Q292" t="s">
        <v>45</v>
      </c>
      <c r="R292" s="1" t="d">
        <v>2025-01-06</v>
      </c>
      <c r="S292" t="s">
        <v>33</v>
      </c>
      <c r="T292" t="s">
        <v>46</v>
      </c>
      <c r="U292" t="s">
        <v>47</v>
      </c>
      <c r="V292" s="1" t="d">
        <v>2025-02-03</v>
      </c>
      <c r="W292" t="s">
        <v>48</v>
      </c>
      <c r="Y292" s="1" t="d">
        <f t="shared" si="12"/>
        <v>2024-12-16</v>
      </c>
      <c r="Z292">
        <f t="shared" si="13"/>
        <v>20</v>
      </c>
      <c r="AA292" t="str">
        <f t="shared" si="14"/>
        <v>No Discount</v>
      </c>
    </row>
    <row r="293" spans="1:27">
      <c r="A293" t="s">
        <v>1259</v>
      </c>
      <c r="B293" s="1" t="d">
        <v>2024-12-17</v>
      </c>
      <c r="C293" t="s">
        <v>1260</v>
      </c>
      <c r="D293" t="s">
        <v>25</v>
      </c>
      <c r="E293" t="s">
        <v>1261</v>
      </c>
      <c r="F293" t="s">
        <v>53</v>
      </c>
      <c r="G293" t="s">
        <v>1262</v>
      </c>
      <c r="H293">
        <v>2799</v>
      </c>
      <c r="I293">
        <v>1</v>
      </c>
      <c r="J293">
        <v>2799</v>
      </c>
      <c r="K293" s="2" t="d">
        <v>2020-12-01</v>
      </c>
      <c r="L293">
        <v>20</v>
      </c>
      <c r="M293" t="s">
        <v>29</v>
      </c>
      <c r="N293" t="s">
        <v>30</v>
      </c>
      <c r="O293" t="s">
        <v>150</v>
      </c>
      <c r="P293" t="s">
        <v>151</v>
      </c>
      <c r="Q293" t="s">
        <v>31</v>
      </c>
      <c r="R293" s="1" t="d">
        <v>2025-01-06</v>
      </c>
      <c r="S293" t="s">
        <v>33</v>
      </c>
      <c r="T293" t="s">
        <v>34</v>
      </c>
      <c r="W293" t="s">
        <v>35</v>
      </c>
      <c r="Y293" s="1" t="d">
        <f t="shared" si="12"/>
        <v>2024-12-16</v>
      </c>
      <c r="Z293">
        <f t="shared" si="13"/>
        <v>20</v>
      </c>
      <c r="AA293" t="str">
        <f t="shared" si="14"/>
        <v>Low (1-20%)</v>
      </c>
    </row>
    <row r="294" spans="1:27">
      <c r="A294" t="s">
        <v>1263</v>
      </c>
      <c r="B294" s="1" t="d">
        <v>2024-12-17</v>
      </c>
      <c r="C294" t="s">
        <v>1264</v>
      </c>
      <c r="D294" t="s">
        <v>25</v>
      </c>
      <c r="E294" t="s">
        <v>1265</v>
      </c>
      <c r="F294" t="s">
        <v>61</v>
      </c>
      <c r="G294" t="s">
        <v>1266</v>
      </c>
      <c r="H294">
        <v>5499</v>
      </c>
      <c r="I294">
        <v>1</v>
      </c>
      <c r="J294">
        <v>5499</v>
      </c>
      <c r="L294">
        <v>0</v>
      </c>
      <c r="M294" t="s">
        <v>55</v>
      </c>
      <c r="N294" t="s">
        <v>44</v>
      </c>
      <c r="O294" t="s">
        <v>156</v>
      </c>
      <c r="P294" t="s">
        <v>97</v>
      </c>
      <c r="Q294" t="s">
        <v>31</v>
      </c>
      <c r="R294" s="1" t="d">
        <v>2025-01-07</v>
      </c>
      <c r="S294" t="s">
        <v>33</v>
      </c>
      <c r="T294" t="s">
        <v>46</v>
      </c>
      <c r="U294" t="s">
        <v>104</v>
      </c>
      <c r="V294" s="1" t="d">
        <v>2025-02-04</v>
      </c>
      <c r="W294" t="s">
        <v>48</v>
      </c>
      <c r="Y294" s="1" t="d">
        <f t="shared" si="12"/>
        <v>2024-12-16</v>
      </c>
      <c r="Z294">
        <f t="shared" si="13"/>
        <v>21</v>
      </c>
      <c r="AA294" t="str">
        <f t="shared" si="14"/>
        <v>No Discount</v>
      </c>
    </row>
    <row r="295" spans="1:27">
      <c r="A295" t="s">
        <v>1267</v>
      </c>
      <c r="B295" s="1" t="d">
        <v>2024-12-18</v>
      </c>
      <c r="C295" t="s">
        <v>1268</v>
      </c>
      <c r="D295" t="s">
        <v>38</v>
      </c>
      <c r="E295" t="s">
        <v>1269</v>
      </c>
      <c r="F295" t="s">
        <v>71</v>
      </c>
      <c r="G295" t="s">
        <v>1270</v>
      </c>
      <c r="H295">
        <v>699</v>
      </c>
      <c r="I295">
        <v>2</v>
      </c>
      <c r="J295">
        <v>1398</v>
      </c>
      <c r="L295">
        <v>0</v>
      </c>
      <c r="M295" t="s">
        <v>111</v>
      </c>
      <c r="N295" t="s">
        <v>65</v>
      </c>
      <c r="O295" t="s">
        <v>161</v>
      </c>
      <c r="P295" t="s">
        <v>162</v>
      </c>
      <c r="Q295" t="s">
        <v>45</v>
      </c>
      <c r="R295" s="1" t="d">
        <v>2025-01-06</v>
      </c>
      <c r="S295" t="s">
        <v>33</v>
      </c>
      <c r="T295" t="s">
        <v>34</v>
      </c>
      <c r="W295" t="s">
        <v>35</v>
      </c>
      <c r="Y295" s="1" t="d">
        <f t="shared" si="12"/>
        <v>2024-12-16</v>
      </c>
      <c r="Z295">
        <f t="shared" si="13"/>
        <v>19</v>
      </c>
      <c r="AA295" t="str">
        <f t="shared" si="14"/>
        <v>No Discount</v>
      </c>
    </row>
    <row r="296" spans="1:27">
      <c r="A296" t="s">
        <v>1271</v>
      </c>
      <c r="B296" s="1" t="d">
        <v>2024-12-18</v>
      </c>
      <c r="C296" t="s">
        <v>1272</v>
      </c>
      <c r="D296" t="s">
        <v>25</v>
      </c>
      <c r="E296" t="s">
        <v>1273</v>
      </c>
      <c r="F296" t="s">
        <v>27</v>
      </c>
      <c r="G296" t="s">
        <v>1274</v>
      </c>
      <c r="H296">
        <v>2299</v>
      </c>
      <c r="I296">
        <v>1</v>
      </c>
      <c r="J296">
        <v>2299</v>
      </c>
      <c r="K296" s="2" t="d">
        <v>2020-12-01</v>
      </c>
      <c r="L296">
        <v>20</v>
      </c>
      <c r="M296" t="s">
        <v>64</v>
      </c>
      <c r="N296" t="s">
        <v>30</v>
      </c>
      <c r="O296" t="s">
        <v>167</v>
      </c>
      <c r="P296" t="s">
        <v>151</v>
      </c>
      <c r="Q296" t="s">
        <v>31</v>
      </c>
      <c r="R296" s="1" t="d">
        <v>2025-01-07</v>
      </c>
      <c r="S296" t="s">
        <v>33</v>
      </c>
      <c r="T296" t="s">
        <v>46</v>
      </c>
      <c r="U296" t="s">
        <v>138</v>
      </c>
      <c r="V296" s="1" t="d">
        <v>2025-02-03</v>
      </c>
      <c r="W296" t="s">
        <v>48</v>
      </c>
      <c r="Y296" s="1" t="d">
        <f t="shared" si="12"/>
        <v>2024-12-16</v>
      </c>
      <c r="Z296">
        <f t="shared" si="13"/>
        <v>20</v>
      </c>
      <c r="AA296" t="str">
        <f t="shared" si="14"/>
        <v>Low (1-20%)</v>
      </c>
    </row>
    <row r="297" spans="1:27">
      <c r="A297" t="s">
        <v>1275</v>
      </c>
      <c r="B297" s="1" t="d">
        <v>2024-12-18</v>
      </c>
      <c r="C297" t="s">
        <v>1276</v>
      </c>
      <c r="D297" t="s">
        <v>25</v>
      </c>
      <c r="E297" t="s">
        <v>1277</v>
      </c>
      <c r="F297" t="s">
        <v>40</v>
      </c>
      <c r="G297" t="s">
        <v>1278</v>
      </c>
      <c r="H297">
        <v>3599</v>
      </c>
      <c r="I297">
        <v>1</v>
      </c>
      <c r="J297">
        <v>3599</v>
      </c>
      <c r="L297">
        <v>0</v>
      </c>
      <c r="M297" t="s">
        <v>43</v>
      </c>
      <c r="N297" t="s">
        <v>44</v>
      </c>
      <c r="O297" t="s">
        <v>172</v>
      </c>
      <c r="P297" t="s">
        <v>32</v>
      </c>
      <c r="Q297" t="s">
        <v>31</v>
      </c>
      <c r="R297" s="1" t="d">
        <v>2025-01-08</v>
      </c>
      <c r="S297" t="s">
        <v>33</v>
      </c>
      <c r="T297" t="s">
        <v>34</v>
      </c>
      <c r="W297" t="s">
        <v>35</v>
      </c>
      <c r="Y297" s="1" t="d">
        <f t="shared" si="12"/>
        <v>2024-12-16</v>
      </c>
      <c r="Z297">
        <f t="shared" si="13"/>
        <v>21</v>
      </c>
      <c r="AA297" t="str">
        <f t="shared" si="14"/>
        <v>No Discount</v>
      </c>
    </row>
    <row r="298" spans="1:27">
      <c r="A298" t="s">
        <v>1279</v>
      </c>
      <c r="B298" s="1" t="d">
        <v>2024-12-18</v>
      </c>
      <c r="C298" t="s">
        <v>1280</v>
      </c>
      <c r="D298" t="s">
        <v>25</v>
      </c>
      <c r="E298" t="s">
        <v>1281</v>
      </c>
      <c r="F298" t="s">
        <v>53</v>
      </c>
      <c r="G298" t="s">
        <v>1282</v>
      </c>
      <c r="H298">
        <v>2499</v>
      </c>
      <c r="I298">
        <v>1</v>
      </c>
      <c r="J298">
        <v>2499</v>
      </c>
      <c r="L298">
        <v>0</v>
      </c>
      <c r="M298" t="s">
        <v>29</v>
      </c>
      <c r="N298" t="s">
        <v>65</v>
      </c>
      <c r="O298" t="s">
        <v>177</v>
      </c>
      <c r="P298" t="s">
        <v>67</v>
      </c>
      <c r="Q298" t="s">
        <v>56</v>
      </c>
      <c r="R298" s="1" t="d">
        <v>2025-01-08</v>
      </c>
      <c r="S298" t="s">
        <v>33</v>
      </c>
      <c r="T298" t="s">
        <v>46</v>
      </c>
      <c r="U298" t="s">
        <v>47</v>
      </c>
      <c r="V298" s="1" t="d">
        <v>2025-02-05</v>
      </c>
      <c r="W298" t="s">
        <v>48</v>
      </c>
      <c r="Y298" s="1" t="d">
        <f t="shared" si="12"/>
        <v>2024-12-16</v>
      </c>
      <c r="Z298">
        <f t="shared" si="13"/>
        <v>21</v>
      </c>
      <c r="AA298" t="str">
        <f t="shared" si="14"/>
        <v>No Discount</v>
      </c>
    </row>
    <row r="299" spans="1:27">
      <c r="A299" t="s">
        <v>1283</v>
      </c>
      <c r="B299" s="1" t="d">
        <v>2024-12-19</v>
      </c>
      <c r="C299" t="s">
        <v>1284</v>
      </c>
      <c r="D299" t="s">
        <v>25</v>
      </c>
      <c r="E299" t="s">
        <v>1285</v>
      </c>
      <c r="F299" t="s">
        <v>61</v>
      </c>
      <c r="G299" t="s">
        <v>1286</v>
      </c>
      <c r="H299">
        <v>6799</v>
      </c>
      <c r="I299">
        <v>1</v>
      </c>
      <c r="J299">
        <v>6799</v>
      </c>
      <c r="K299" s="2" t="d">
        <v>2020-12-01</v>
      </c>
      <c r="L299">
        <v>20</v>
      </c>
      <c r="M299" t="s">
        <v>55</v>
      </c>
      <c r="N299" t="s">
        <v>30</v>
      </c>
      <c r="O299" t="s">
        <v>182</v>
      </c>
      <c r="P299" t="s">
        <v>183</v>
      </c>
      <c r="Q299" t="s">
        <v>56</v>
      </c>
      <c r="R299" s="1" t="d">
        <v>2025-01-09</v>
      </c>
      <c r="S299" t="s">
        <v>33</v>
      </c>
      <c r="T299" t="s">
        <v>46</v>
      </c>
      <c r="U299" t="s">
        <v>79</v>
      </c>
      <c r="V299" s="1" t="d">
        <v>2025-02-06</v>
      </c>
      <c r="W299" t="s">
        <v>48</v>
      </c>
      <c r="Y299" s="1" t="d">
        <f t="shared" si="12"/>
        <v>2024-12-16</v>
      </c>
      <c r="Z299">
        <f t="shared" si="13"/>
        <v>21</v>
      </c>
      <c r="AA299" t="str">
        <f t="shared" si="14"/>
        <v>Low (1-20%)</v>
      </c>
    </row>
    <row r="300" spans="1:27">
      <c r="A300" t="s">
        <v>1287</v>
      </c>
      <c r="B300" s="1" t="d">
        <v>2024-12-19</v>
      </c>
      <c r="C300" t="s">
        <v>1288</v>
      </c>
      <c r="D300" t="s">
        <v>38</v>
      </c>
      <c r="E300" t="s">
        <v>1289</v>
      </c>
      <c r="F300" t="s">
        <v>71</v>
      </c>
      <c r="G300" t="s">
        <v>1290</v>
      </c>
      <c r="H300">
        <v>599</v>
      </c>
      <c r="I300">
        <v>3</v>
      </c>
      <c r="J300">
        <v>1797</v>
      </c>
      <c r="L300">
        <v>0</v>
      </c>
      <c r="M300" t="s">
        <v>111</v>
      </c>
      <c r="N300" t="s">
        <v>44</v>
      </c>
      <c r="O300" t="s">
        <v>188</v>
      </c>
      <c r="P300" t="s">
        <v>189</v>
      </c>
      <c r="Q300" t="s">
        <v>56</v>
      </c>
      <c r="R300" s="1" t="d">
        <v>2025-01-08</v>
      </c>
      <c r="S300" t="s">
        <v>33</v>
      </c>
      <c r="T300" t="s">
        <v>34</v>
      </c>
      <c r="W300" t="s">
        <v>35</v>
      </c>
      <c r="Y300" s="1" t="d">
        <f t="shared" si="12"/>
        <v>2024-12-16</v>
      </c>
      <c r="Z300">
        <f t="shared" si="13"/>
        <v>20</v>
      </c>
      <c r="AA300" t="str">
        <f t="shared" si="14"/>
        <v>No Discount</v>
      </c>
    </row>
    <row r="301" spans="1:27">
      <c r="A301" t="s">
        <v>1291</v>
      </c>
      <c r="B301" s="1" t="d">
        <v>2024-12-19</v>
      </c>
      <c r="C301" t="s">
        <v>1292</v>
      </c>
      <c r="D301" t="s">
        <v>25</v>
      </c>
      <c r="E301" t="s">
        <v>1293</v>
      </c>
      <c r="F301" t="s">
        <v>27</v>
      </c>
      <c r="G301" t="s">
        <v>1294</v>
      </c>
      <c r="H301">
        <v>1899</v>
      </c>
      <c r="I301">
        <v>1</v>
      </c>
      <c r="J301">
        <v>1899</v>
      </c>
      <c r="L301">
        <v>0</v>
      </c>
      <c r="M301" t="s">
        <v>64</v>
      </c>
      <c r="N301" t="s">
        <v>65</v>
      </c>
      <c r="O301" t="s">
        <v>194</v>
      </c>
      <c r="P301" t="s">
        <v>183</v>
      </c>
      <c r="Q301" t="s">
        <v>56</v>
      </c>
      <c r="R301" s="1" t="d">
        <v>2025-01-09</v>
      </c>
      <c r="S301" t="s">
        <v>33</v>
      </c>
      <c r="T301" t="s">
        <v>46</v>
      </c>
      <c r="U301" t="s">
        <v>68</v>
      </c>
      <c r="V301" s="1" t="d">
        <v>2025-02-05</v>
      </c>
      <c r="W301" t="s">
        <v>48</v>
      </c>
      <c r="Y301" s="1" t="d">
        <f t="shared" si="12"/>
        <v>2024-12-16</v>
      </c>
      <c r="Z301">
        <f t="shared" si="13"/>
        <v>21</v>
      </c>
      <c r="AA301" t="str">
        <f t="shared" si="14"/>
        <v>No Discount</v>
      </c>
    </row>
    <row r="302" spans="1:27">
      <c r="A302" t="s">
        <v>1295</v>
      </c>
      <c r="B302" s="1" t="d">
        <v>2024-12-19</v>
      </c>
      <c r="C302" t="s">
        <v>1296</v>
      </c>
      <c r="D302" t="s">
        <v>25</v>
      </c>
      <c r="E302" t="s">
        <v>1297</v>
      </c>
      <c r="F302" t="s">
        <v>40</v>
      </c>
      <c r="G302" t="s">
        <v>1298</v>
      </c>
      <c r="H302">
        <v>4499</v>
      </c>
      <c r="I302">
        <v>1</v>
      </c>
      <c r="J302">
        <v>4499</v>
      </c>
      <c r="K302" s="2" t="d">
        <v>2020-12-01</v>
      </c>
      <c r="L302">
        <v>20</v>
      </c>
      <c r="M302" t="s">
        <v>43</v>
      </c>
      <c r="N302" t="s">
        <v>30</v>
      </c>
      <c r="O302" t="s">
        <v>199</v>
      </c>
      <c r="P302" t="s">
        <v>57</v>
      </c>
      <c r="Q302" t="s">
        <v>56</v>
      </c>
      <c r="R302" s="1" t="d">
        <v>2025-01-10</v>
      </c>
      <c r="S302" t="s">
        <v>33</v>
      </c>
      <c r="T302" t="s">
        <v>46</v>
      </c>
      <c r="U302" t="s">
        <v>47</v>
      </c>
      <c r="V302" s="1" t="d">
        <v>2025-02-07</v>
      </c>
      <c r="W302" t="s">
        <v>48</v>
      </c>
      <c r="Y302" s="1" t="d">
        <f t="shared" si="12"/>
        <v>2024-12-16</v>
      </c>
      <c r="Z302">
        <f t="shared" si="13"/>
        <v>22</v>
      </c>
      <c r="AA302" t="str">
        <f t="shared" si="14"/>
        <v>Low (1-20%)</v>
      </c>
    </row>
    <row r="303" spans="1:27">
      <c r="A303" t="s">
        <v>1299</v>
      </c>
      <c r="B303" s="1" t="d">
        <v>2024-12-20</v>
      </c>
      <c r="C303" t="s">
        <v>1300</v>
      </c>
      <c r="D303" t="s">
        <v>25</v>
      </c>
      <c r="E303" t="s">
        <v>1301</v>
      </c>
      <c r="F303" t="s">
        <v>53</v>
      </c>
      <c r="G303" t="s">
        <v>1302</v>
      </c>
      <c r="H303">
        <v>2199</v>
      </c>
      <c r="I303">
        <v>1</v>
      </c>
      <c r="J303">
        <v>2199</v>
      </c>
      <c r="L303">
        <v>0</v>
      </c>
      <c r="M303" t="s">
        <v>29</v>
      </c>
      <c r="N303" t="s">
        <v>44</v>
      </c>
      <c r="O303" t="s">
        <v>204</v>
      </c>
      <c r="P303" t="s">
        <v>97</v>
      </c>
      <c r="Q303" t="s">
        <v>31</v>
      </c>
      <c r="R303" s="1" t="d">
        <v>2025-01-10</v>
      </c>
      <c r="S303" t="s">
        <v>33</v>
      </c>
      <c r="T303" t="s">
        <v>34</v>
      </c>
      <c r="W303" t="s">
        <v>35</v>
      </c>
      <c r="Y303" s="1" t="d">
        <f t="shared" si="12"/>
        <v>2024-12-16</v>
      </c>
      <c r="Z303">
        <f t="shared" si="13"/>
        <v>21</v>
      </c>
      <c r="AA303" t="str">
        <f t="shared" si="14"/>
        <v>No Discount</v>
      </c>
    </row>
    <row r="304" spans="1:27">
      <c r="A304" t="s">
        <v>1303</v>
      </c>
      <c r="B304" s="1" t="d">
        <v>2024-12-20</v>
      </c>
      <c r="C304" t="s">
        <v>1304</v>
      </c>
      <c r="D304" t="s">
        <v>25</v>
      </c>
      <c r="E304" t="s">
        <v>1305</v>
      </c>
      <c r="F304" t="s">
        <v>61</v>
      </c>
      <c r="G304" t="s">
        <v>1306</v>
      </c>
      <c r="H304">
        <v>5199</v>
      </c>
      <c r="I304">
        <v>1</v>
      </c>
      <c r="J304">
        <v>5199</v>
      </c>
      <c r="L304">
        <v>0</v>
      </c>
      <c r="M304" t="s">
        <v>55</v>
      </c>
      <c r="N304" t="s">
        <v>65</v>
      </c>
      <c r="O304" t="s">
        <v>209</v>
      </c>
      <c r="P304" t="s">
        <v>97</v>
      </c>
      <c r="Q304" t="s">
        <v>31</v>
      </c>
      <c r="R304" s="1" t="d">
        <v>2025-01-11</v>
      </c>
      <c r="S304" t="s">
        <v>33</v>
      </c>
      <c r="T304" t="s">
        <v>46</v>
      </c>
      <c r="U304" t="s">
        <v>104</v>
      </c>
      <c r="V304" s="1" t="d">
        <v>2025-02-08</v>
      </c>
      <c r="W304" t="s">
        <v>48</v>
      </c>
      <c r="Y304" s="1" t="d">
        <f t="shared" si="12"/>
        <v>2024-12-16</v>
      </c>
      <c r="Z304">
        <f t="shared" si="13"/>
        <v>22</v>
      </c>
      <c r="AA304" t="str">
        <f t="shared" si="14"/>
        <v>No Discount</v>
      </c>
    </row>
    <row r="305" spans="1:27">
      <c r="A305" t="s">
        <v>1307</v>
      </c>
      <c r="B305" s="1" t="d">
        <v>2024-12-20</v>
      </c>
      <c r="C305" t="s">
        <v>1308</v>
      </c>
      <c r="D305" t="s">
        <v>38</v>
      </c>
      <c r="E305" t="s">
        <v>1309</v>
      </c>
      <c r="F305" t="s">
        <v>71</v>
      </c>
      <c r="G305" t="s">
        <v>1310</v>
      </c>
      <c r="H305">
        <v>499</v>
      </c>
      <c r="I305">
        <v>2</v>
      </c>
      <c r="J305">
        <v>998</v>
      </c>
      <c r="K305" s="2" t="d">
        <v>2020-12-01</v>
      </c>
      <c r="L305">
        <v>20</v>
      </c>
      <c r="M305" t="s">
        <v>111</v>
      </c>
      <c r="N305" t="s">
        <v>30</v>
      </c>
      <c r="O305" t="s">
        <v>214</v>
      </c>
      <c r="P305" t="s">
        <v>113</v>
      </c>
      <c r="Q305" t="s">
        <v>45</v>
      </c>
      <c r="R305" s="1" t="d">
        <v>2025-01-10</v>
      </c>
      <c r="S305" t="s">
        <v>33</v>
      </c>
      <c r="T305" t="s">
        <v>34</v>
      </c>
      <c r="W305" t="s">
        <v>35</v>
      </c>
      <c r="Y305" s="1" t="d">
        <f t="shared" si="12"/>
        <v>2024-12-16</v>
      </c>
      <c r="Z305">
        <f t="shared" si="13"/>
        <v>21</v>
      </c>
      <c r="AA305" t="str">
        <f t="shared" si="14"/>
        <v>Low (1-20%)</v>
      </c>
    </row>
    <row r="306" spans="1:27">
      <c r="A306" t="s">
        <v>1311</v>
      </c>
      <c r="B306" s="1" t="d">
        <v>2024-12-20</v>
      </c>
      <c r="C306" t="s">
        <v>1312</v>
      </c>
      <c r="D306" t="s">
        <v>25</v>
      </c>
      <c r="E306" t="s">
        <v>1313</v>
      </c>
      <c r="F306" t="s">
        <v>27</v>
      </c>
      <c r="G306" t="s">
        <v>1314</v>
      </c>
      <c r="H306">
        <v>2099</v>
      </c>
      <c r="I306">
        <v>1</v>
      </c>
      <c r="J306">
        <v>2099</v>
      </c>
      <c r="L306">
        <v>0</v>
      </c>
      <c r="M306" t="s">
        <v>64</v>
      </c>
      <c r="N306" t="s">
        <v>44</v>
      </c>
      <c r="O306" t="s">
        <v>31</v>
      </c>
      <c r="P306" t="s">
        <v>32</v>
      </c>
      <c r="Q306" t="s">
        <v>31</v>
      </c>
      <c r="R306" s="1" t="d">
        <v>2025-01-11</v>
      </c>
      <c r="S306" t="s">
        <v>33</v>
      </c>
      <c r="T306" t="s">
        <v>46</v>
      </c>
      <c r="U306" t="s">
        <v>138</v>
      </c>
      <c r="V306" s="1" t="d">
        <v>2025-02-07</v>
      </c>
      <c r="W306" t="s">
        <v>48</v>
      </c>
      <c r="Y306" s="1" t="d">
        <f t="shared" si="12"/>
        <v>2024-12-16</v>
      </c>
      <c r="Z306">
        <f t="shared" si="13"/>
        <v>22</v>
      </c>
      <c r="AA306" t="str">
        <f t="shared" si="14"/>
        <v>No Discount</v>
      </c>
    </row>
    <row r="307" spans="1:27">
      <c r="A307" t="s">
        <v>1315</v>
      </c>
      <c r="B307" s="1" t="d">
        <v>2024-12-21</v>
      </c>
      <c r="C307" t="s">
        <v>1316</v>
      </c>
      <c r="D307" t="s">
        <v>25</v>
      </c>
      <c r="E307" t="s">
        <v>1317</v>
      </c>
      <c r="F307" t="s">
        <v>40</v>
      </c>
      <c r="G307" t="s">
        <v>1318</v>
      </c>
      <c r="H307">
        <v>3999</v>
      </c>
      <c r="I307">
        <v>1</v>
      </c>
      <c r="J307">
        <v>3999</v>
      </c>
      <c r="L307">
        <v>0</v>
      </c>
      <c r="M307" t="s">
        <v>43</v>
      </c>
      <c r="N307" t="s">
        <v>65</v>
      </c>
      <c r="O307" t="s">
        <v>45</v>
      </c>
      <c r="P307" t="s">
        <v>45</v>
      </c>
      <c r="Q307" t="s">
        <v>45</v>
      </c>
      <c r="R307" s="1" t="d">
        <v>2025-01-12</v>
      </c>
      <c r="S307" t="s">
        <v>33</v>
      </c>
      <c r="T307" t="s">
        <v>46</v>
      </c>
      <c r="U307" t="s">
        <v>47</v>
      </c>
      <c r="V307" s="1" t="d">
        <v>2025-02-09</v>
      </c>
      <c r="W307" t="s">
        <v>48</v>
      </c>
      <c r="Y307" s="1" t="d">
        <f t="shared" si="12"/>
        <v>2024-12-16</v>
      </c>
      <c r="Z307">
        <f t="shared" si="13"/>
        <v>22</v>
      </c>
      <c r="AA307" t="str">
        <f t="shared" si="14"/>
        <v>No Discount</v>
      </c>
    </row>
    <row r="308" spans="1:27">
      <c r="A308" t="s">
        <v>1319</v>
      </c>
      <c r="B308" s="1" t="d">
        <v>2024-12-21</v>
      </c>
      <c r="C308" t="s">
        <v>1320</v>
      </c>
      <c r="D308" t="s">
        <v>25</v>
      </c>
      <c r="E308" t="s">
        <v>1321</v>
      </c>
      <c r="F308" t="s">
        <v>53</v>
      </c>
      <c r="G308" t="s">
        <v>1322</v>
      </c>
      <c r="H308">
        <v>2399</v>
      </c>
      <c r="I308">
        <v>1</v>
      </c>
      <c r="J308">
        <v>2399</v>
      </c>
      <c r="K308" s="2" t="d">
        <v>2020-12-01</v>
      </c>
      <c r="L308">
        <v>20</v>
      </c>
      <c r="M308" t="s">
        <v>29</v>
      </c>
      <c r="N308" t="s">
        <v>30</v>
      </c>
      <c r="O308" t="s">
        <v>90</v>
      </c>
      <c r="P308" t="s">
        <v>91</v>
      </c>
      <c r="Q308" t="s">
        <v>45</v>
      </c>
      <c r="R308" s="1" t="d">
        <v>2025-01-12</v>
      </c>
      <c r="S308" t="s">
        <v>33</v>
      </c>
      <c r="T308" t="s">
        <v>34</v>
      </c>
      <c r="W308" t="s">
        <v>35</v>
      </c>
      <c r="Y308" s="1" t="d">
        <f t="shared" si="12"/>
        <v>2024-12-16</v>
      </c>
      <c r="Z308">
        <f t="shared" si="13"/>
        <v>22</v>
      </c>
      <c r="AA308" t="str">
        <f t="shared" si="14"/>
        <v>Low (1-20%)</v>
      </c>
    </row>
    <row r="309" spans="1:27">
      <c r="A309" t="s">
        <v>1323</v>
      </c>
      <c r="B309" s="1" t="d">
        <v>2024-12-21</v>
      </c>
      <c r="C309" t="s">
        <v>1324</v>
      </c>
      <c r="D309" t="s">
        <v>25</v>
      </c>
      <c r="E309" t="s">
        <v>1325</v>
      </c>
      <c r="F309" t="s">
        <v>61</v>
      </c>
      <c r="G309" t="s">
        <v>1326</v>
      </c>
      <c r="H309">
        <v>7299</v>
      </c>
      <c r="I309">
        <v>1</v>
      </c>
      <c r="J309">
        <v>7299</v>
      </c>
      <c r="L309">
        <v>0</v>
      </c>
      <c r="M309" t="s">
        <v>55</v>
      </c>
      <c r="N309" t="s">
        <v>44</v>
      </c>
      <c r="O309" t="s">
        <v>66</v>
      </c>
      <c r="P309" t="s">
        <v>67</v>
      </c>
      <c r="Q309" t="s">
        <v>56</v>
      </c>
      <c r="R309" s="1" t="d">
        <v>2025-01-13</v>
      </c>
      <c r="S309" t="s">
        <v>33</v>
      </c>
      <c r="T309" t="s">
        <v>46</v>
      </c>
      <c r="U309" t="s">
        <v>79</v>
      </c>
      <c r="V309" s="1" t="d">
        <v>2025-02-10</v>
      </c>
      <c r="W309" t="s">
        <v>48</v>
      </c>
      <c r="Y309" s="1" t="d">
        <f t="shared" si="12"/>
        <v>2024-12-16</v>
      </c>
      <c r="Z309">
        <f t="shared" si="13"/>
        <v>23</v>
      </c>
      <c r="AA309" t="str">
        <f t="shared" si="14"/>
        <v>No Discount</v>
      </c>
    </row>
    <row r="310" spans="1:27">
      <c r="A310" t="s">
        <v>1327</v>
      </c>
      <c r="B310" s="1" t="d">
        <v>2024-12-21</v>
      </c>
      <c r="C310" t="s">
        <v>1328</v>
      </c>
      <c r="D310" t="s">
        <v>38</v>
      </c>
      <c r="E310" t="s">
        <v>1329</v>
      </c>
      <c r="F310" t="s">
        <v>71</v>
      </c>
      <c r="G310" t="s">
        <v>1330</v>
      </c>
      <c r="H310">
        <v>899</v>
      </c>
      <c r="I310">
        <v>1</v>
      </c>
      <c r="J310">
        <v>899</v>
      </c>
      <c r="L310">
        <v>0</v>
      </c>
      <c r="M310" t="s">
        <v>111</v>
      </c>
      <c r="N310" t="s">
        <v>65</v>
      </c>
      <c r="O310" t="s">
        <v>77</v>
      </c>
      <c r="P310" t="s">
        <v>78</v>
      </c>
      <c r="Q310" t="s">
        <v>56</v>
      </c>
      <c r="R310" s="1" t="d">
        <v>2025-01-12</v>
      </c>
      <c r="S310" t="s">
        <v>33</v>
      </c>
      <c r="T310" t="s">
        <v>46</v>
      </c>
      <c r="U310" t="s">
        <v>68</v>
      </c>
      <c r="V310" s="1" t="d">
        <v>2025-02-08</v>
      </c>
      <c r="W310" t="s">
        <v>48</v>
      </c>
      <c r="Y310" s="1" t="d">
        <f t="shared" si="12"/>
        <v>2024-12-16</v>
      </c>
      <c r="Z310">
        <f t="shared" si="13"/>
        <v>22</v>
      </c>
      <c r="AA310" t="str">
        <f t="shared" si="14"/>
        <v>No Discount</v>
      </c>
    </row>
    <row r="311" spans="1:27">
      <c r="A311" t="s">
        <v>1331</v>
      </c>
      <c r="B311" s="1" t="d">
        <v>2024-12-22</v>
      </c>
      <c r="C311" t="s">
        <v>1332</v>
      </c>
      <c r="D311" t="s">
        <v>25</v>
      </c>
      <c r="E311" t="s">
        <v>1333</v>
      </c>
      <c r="F311" t="s">
        <v>27</v>
      </c>
      <c r="G311" t="s">
        <v>1334</v>
      </c>
      <c r="H311">
        <v>1999</v>
      </c>
      <c r="I311">
        <v>1</v>
      </c>
      <c r="J311">
        <v>1999</v>
      </c>
      <c r="K311" s="2" t="d">
        <v>2020-12-01</v>
      </c>
      <c r="L311">
        <v>20</v>
      </c>
      <c r="M311" t="s">
        <v>64</v>
      </c>
      <c r="N311" t="s">
        <v>30</v>
      </c>
      <c r="O311" t="s">
        <v>84</v>
      </c>
      <c r="P311" t="s">
        <v>32</v>
      </c>
      <c r="Q311" t="s">
        <v>31</v>
      </c>
      <c r="R311" s="1" t="d">
        <v>2025-01-13</v>
      </c>
      <c r="S311" t="s">
        <v>33</v>
      </c>
      <c r="T311" t="s">
        <v>34</v>
      </c>
      <c r="W311" t="s">
        <v>35</v>
      </c>
      <c r="Y311" s="1" t="d">
        <f t="shared" si="12"/>
        <v>2024-12-16</v>
      </c>
      <c r="Z311">
        <f t="shared" si="13"/>
        <v>22</v>
      </c>
      <c r="AA311" t="str">
        <f t="shared" si="14"/>
        <v>Low (1-20%)</v>
      </c>
    </row>
    <row r="312" spans="1:27">
      <c r="A312" t="s">
        <v>1335</v>
      </c>
      <c r="B312" s="1" t="d">
        <v>2024-12-22</v>
      </c>
      <c r="C312" t="s">
        <v>1336</v>
      </c>
      <c r="D312" t="s">
        <v>25</v>
      </c>
      <c r="E312" t="s">
        <v>1337</v>
      </c>
      <c r="F312" t="s">
        <v>40</v>
      </c>
      <c r="G312" t="s">
        <v>1338</v>
      </c>
      <c r="H312">
        <v>4699</v>
      </c>
      <c r="I312">
        <v>1</v>
      </c>
      <c r="J312">
        <v>4699</v>
      </c>
      <c r="L312">
        <v>0</v>
      </c>
      <c r="M312" t="s">
        <v>43</v>
      </c>
      <c r="N312" t="s">
        <v>44</v>
      </c>
      <c r="O312" t="s">
        <v>96</v>
      </c>
      <c r="P312" t="s">
        <v>97</v>
      </c>
      <c r="Q312" t="s">
        <v>31</v>
      </c>
      <c r="R312" s="1" t="d">
        <v>2025-01-14</v>
      </c>
      <c r="S312" t="s">
        <v>33</v>
      </c>
      <c r="T312" t="s">
        <v>46</v>
      </c>
      <c r="U312" t="s">
        <v>47</v>
      </c>
      <c r="V312" s="1" t="d">
        <v>2025-02-11</v>
      </c>
      <c r="W312" t="s">
        <v>48</v>
      </c>
      <c r="Y312" s="1" t="d">
        <f t="shared" si="12"/>
        <v>2024-12-16</v>
      </c>
      <c r="Z312">
        <f t="shared" si="13"/>
        <v>23</v>
      </c>
      <c r="AA312" t="str">
        <f t="shared" si="14"/>
        <v>No Discount</v>
      </c>
    </row>
    <row r="313" spans="1:27">
      <c r="A313" t="s">
        <v>1339</v>
      </c>
      <c r="B313" s="1" t="d">
        <v>2024-12-22</v>
      </c>
      <c r="C313" t="s">
        <v>1340</v>
      </c>
      <c r="D313" t="s">
        <v>25</v>
      </c>
      <c r="E313" t="s">
        <v>1341</v>
      </c>
      <c r="F313" t="s">
        <v>53</v>
      </c>
      <c r="G313" t="s">
        <v>1342</v>
      </c>
      <c r="H313">
        <v>2299</v>
      </c>
      <c r="I313">
        <v>1</v>
      </c>
      <c r="J313">
        <v>2299</v>
      </c>
      <c r="L313">
        <v>0</v>
      </c>
      <c r="M313" t="s">
        <v>29</v>
      </c>
      <c r="N313" t="s">
        <v>65</v>
      </c>
      <c r="O313" t="s">
        <v>102</v>
      </c>
      <c r="P313" t="s">
        <v>103</v>
      </c>
      <c r="Q313" t="s">
        <v>45</v>
      </c>
      <c r="R313" s="1" t="d">
        <v>2025-01-14</v>
      </c>
      <c r="S313" t="s">
        <v>33</v>
      </c>
      <c r="T313" t="s">
        <v>34</v>
      </c>
      <c r="W313" t="s">
        <v>35</v>
      </c>
      <c r="Y313" s="1" t="d">
        <f t="shared" si="12"/>
        <v>2024-12-16</v>
      </c>
      <c r="Z313">
        <f t="shared" si="13"/>
        <v>23</v>
      </c>
      <c r="AA313" t="str">
        <f t="shared" si="14"/>
        <v>No Discount</v>
      </c>
    </row>
    <row r="314" spans="1:27">
      <c r="A314" t="s">
        <v>1343</v>
      </c>
      <c r="B314" s="1" t="d">
        <v>2024-12-22</v>
      </c>
      <c r="C314" t="s">
        <v>1344</v>
      </c>
      <c r="D314" t="s">
        <v>25</v>
      </c>
      <c r="E314" t="s">
        <v>1345</v>
      </c>
      <c r="F314" t="s">
        <v>61</v>
      </c>
      <c r="G314" t="s">
        <v>1346</v>
      </c>
      <c r="H314">
        <v>5399</v>
      </c>
      <c r="I314">
        <v>1</v>
      </c>
      <c r="J314">
        <v>5399</v>
      </c>
      <c r="K314" s="2" t="d">
        <v>2020-12-01</v>
      </c>
      <c r="L314">
        <v>20</v>
      </c>
      <c r="M314" t="s">
        <v>55</v>
      </c>
      <c r="N314" t="s">
        <v>30</v>
      </c>
      <c r="O314" t="s">
        <v>112</v>
      </c>
      <c r="P314" t="s">
        <v>113</v>
      </c>
      <c r="Q314" t="s">
        <v>45</v>
      </c>
      <c r="R314" s="1" t="d">
        <v>2025-01-15</v>
      </c>
      <c r="S314" t="s">
        <v>33</v>
      </c>
      <c r="T314" t="s">
        <v>46</v>
      </c>
      <c r="U314" t="s">
        <v>104</v>
      </c>
      <c r="V314" s="1" t="d">
        <v>2025-02-12</v>
      </c>
      <c r="W314" t="s">
        <v>48</v>
      </c>
      <c r="Y314" s="1" t="d">
        <f t="shared" si="12"/>
        <v>2024-12-16</v>
      </c>
      <c r="Z314">
        <f t="shared" si="13"/>
        <v>24</v>
      </c>
      <c r="AA314" t="str">
        <f t="shared" si="14"/>
        <v>Low (1-20%)</v>
      </c>
    </row>
    <row r="315" spans="1:27">
      <c r="A315" t="s">
        <v>1347</v>
      </c>
      <c r="B315" s="1" t="d">
        <v>2024-12-23</v>
      </c>
      <c r="C315" t="s">
        <v>1348</v>
      </c>
      <c r="D315" t="s">
        <v>38</v>
      </c>
      <c r="E315" t="s">
        <v>1349</v>
      </c>
      <c r="F315" t="s">
        <v>71</v>
      </c>
      <c r="G315" t="s">
        <v>1350</v>
      </c>
      <c r="H315">
        <v>1199</v>
      </c>
      <c r="I315">
        <v>1</v>
      </c>
      <c r="J315">
        <v>1199</v>
      </c>
      <c r="L315">
        <v>0</v>
      </c>
      <c r="M315" t="s">
        <v>111</v>
      </c>
      <c r="N315" t="s">
        <v>44</v>
      </c>
      <c r="O315" t="s">
        <v>56</v>
      </c>
      <c r="P315" t="s">
        <v>57</v>
      </c>
      <c r="Q315" t="s">
        <v>56</v>
      </c>
      <c r="R315" s="1" t="d">
        <v>2025-01-14</v>
      </c>
      <c r="S315" t="s">
        <v>33</v>
      </c>
      <c r="T315" t="s">
        <v>34</v>
      </c>
      <c r="W315" t="s">
        <v>35</v>
      </c>
      <c r="Y315" s="1" t="d">
        <f t="shared" si="12"/>
        <v>2024-12-23</v>
      </c>
      <c r="Z315">
        <f t="shared" si="13"/>
        <v>22</v>
      </c>
      <c r="AA315" t="str">
        <f t="shared" si="14"/>
        <v>No Discount</v>
      </c>
    </row>
    <row r="316" spans="1:27">
      <c r="A316" t="s">
        <v>1351</v>
      </c>
      <c r="B316" s="1" t="d">
        <v>2024-12-23</v>
      </c>
      <c r="C316" t="s">
        <v>1352</v>
      </c>
      <c r="D316" t="s">
        <v>25</v>
      </c>
      <c r="E316" t="s">
        <v>1353</v>
      </c>
      <c r="F316" t="s">
        <v>27</v>
      </c>
      <c r="G316" t="s">
        <v>1354</v>
      </c>
      <c r="H316">
        <v>2199</v>
      </c>
      <c r="I316">
        <v>1</v>
      </c>
      <c r="J316">
        <v>2199</v>
      </c>
      <c r="L316">
        <v>0</v>
      </c>
      <c r="M316" t="s">
        <v>64</v>
      </c>
      <c r="N316" t="s">
        <v>65</v>
      </c>
      <c r="O316" t="s">
        <v>31</v>
      </c>
      <c r="P316" t="s">
        <v>32</v>
      </c>
      <c r="Q316" t="s">
        <v>31</v>
      </c>
      <c r="R316" s="1" t="d">
        <v>2025-01-15</v>
      </c>
      <c r="S316" t="s">
        <v>33</v>
      </c>
      <c r="T316" t="s">
        <v>46</v>
      </c>
      <c r="U316" t="s">
        <v>138</v>
      </c>
      <c r="V316" s="1" t="d">
        <v>2025-02-11</v>
      </c>
      <c r="W316" t="s">
        <v>48</v>
      </c>
      <c r="Y316" s="1" t="d">
        <f t="shared" si="12"/>
        <v>2024-12-23</v>
      </c>
      <c r="Z316">
        <f t="shared" si="13"/>
        <v>23</v>
      </c>
      <c r="AA316" t="str">
        <f t="shared" si="14"/>
        <v>No Discount</v>
      </c>
    </row>
    <row r="317" spans="1:27">
      <c r="A317" t="s">
        <v>1355</v>
      </c>
      <c r="B317" s="1" t="d">
        <v>2024-12-23</v>
      </c>
      <c r="C317" t="s">
        <v>1356</v>
      </c>
      <c r="D317" t="s">
        <v>25</v>
      </c>
      <c r="E317" t="s">
        <v>1357</v>
      </c>
      <c r="F317" t="s">
        <v>40</v>
      </c>
      <c r="G317" t="s">
        <v>1358</v>
      </c>
      <c r="H317">
        <v>3799</v>
      </c>
      <c r="I317">
        <v>1</v>
      </c>
      <c r="J317">
        <v>3799</v>
      </c>
      <c r="K317" s="2" t="d">
        <v>2020-12-01</v>
      </c>
      <c r="L317">
        <v>20</v>
      </c>
      <c r="M317" t="s">
        <v>43</v>
      </c>
      <c r="N317" t="s">
        <v>30</v>
      </c>
      <c r="O317" t="s">
        <v>45</v>
      </c>
      <c r="P317" t="s">
        <v>45</v>
      </c>
      <c r="Q317" t="s">
        <v>45</v>
      </c>
      <c r="R317" s="1" t="d">
        <v>2025-01-16</v>
      </c>
      <c r="S317" t="s">
        <v>33</v>
      </c>
      <c r="T317" t="s">
        <v>46</v>
      </c>
      <c r="U317" t="s">
        <v>47</v>
      </c>
      <c r="V317" s="1" t="d">
        <v>2025-02-13</v>
      </c>
      <c r="W317" t="s">
        <v>48</v>
      </c>
      <c r="Y317" s="1" t="d">
        <f t="shared" si="12"/>
        <v>2024-12-23</v>
      </c>
      <c r="Z317">
        <f t="shared" si="13"/>
        <v>24</v>
      </c>
      <c r="AA317" t="str">
        <f t="shared" si="14"/>
        <v>Low (1-20%)</v>
      </c>
    </row>
    <row r="318" spans="1:27">
      <c r="A318" t="s">
        <v>1359</v>
      </c>
      <c r="B318" s="1" t="d">
        <v>2024-12-23</v>
      </c>
      <c r="C318" t="s">
        <v>1360</v>
      </c>
      <c r="D318" t="s">
        <v>25</v>
      </c>
      <c r="E318" t="s">
        <v>1361</v>
      </c>
      <c r="F318" t="s">
        <v>53</v>
      </c>
      <c r="G318" t="s">
        <v>1362</v>
      </c>
      <c r="H318">
        <v>2499</v>
      </c>
      <c r="I318">
        <v>1</v>
      </c>
      <c r="J318">
        <v>2499</v>
      </c>
      <c r="L318">
        <v>0</v>
      </c>
      <c r="M318" t="s">
        <v>29</v>
      </c>
      <c r="N318" t="s">
        <v>44</v>
      </c>
      <c r="O318" t="s">
        <v>118</v>
      </c>
      <c r="P318" t="s">
        <v>119</v>
      </c>
      <c r="Q318" t="s">
        <v>45</v>
      </c>
      <c r="R318" s="1" t="d">
        <v>2025-01-16</v>
      </c>
      <c r="S318" t="s">
        <v>33</v>
      </c>
      <c r="T318" t="s">
        <v>34</v>
      </c>
      <c r="W318" t="s">
        <v>35</v>
      </c>
      <c r="Y318" s="1" t="d">
        <f t="shared" si="12"/>
        <v>2024-12-23</v>
      </c>
      <c r="Z318">
        <f t="shared" si="13"/>
        <v>24</v>
      </c>
      <c r="AA318" t="str">
        <f t="shared" si="14"/>
        <v>No Discount</v>
      </c>
    </row>
    <row r="319" spans="1:27">
      <c r="A319" t="s">
        <v>1363</v>
      </c>
      <c r="B319" s="1" t="d">
        <v>2024-12-24</v>
      </c>
      <c r="C319" t="s">
        <v>1364</v>
      </c>
      <c r="D319" t="s">
        <v>25</v>
      </c>
      <c r="E319" t="s">
        <v>1365</v>
      </c>
      <c r="F319" t="s">
        <v>61</v>
      </c>
      <c r="G319" t="s">
        <v>1366</v>
      </c>
      <c r="H319">
        <v>6499</v>
      </c>
      <c r="I319">
        <v>1</v>
      </c>
      <c r="J319">
        <v>6499</v>
      </c>
      <c r="L319">
        <v>0</v>
      </c>
      <c r="M319" t="s">
        <v>55</v>
      </c>
      <c r="N319" t="s">
        <v>65</v>
      </c>
      <c r="O319" t="s">
        <v>137</v>
      </c>
      <c r="P319" t="s">
        <v>113</v>
      </c>
      <c r="Q319" t="s">
        <v>45</v>
      </c>
      <c r="R319" s="1" t="d">
        <v>2025-01-17</v>
      </c>
      <c r="S319" t="s">
        <v>33</v>
      </c>
      <c r="T319" t="s">
        <v>46</v>
      </c>
      <c r="U319" t="s">
        <v>79</v>
      </c>
      <c r="V319" s="1" t="d">
        <v>2025-02-14</v>
      </c>
      <c r="W319" t="s">
        <v>48</v>
      </c>
      <c r="Y319" s="1" t="d">
        <f t="shared" si="12"/>
        <v>2024-12-23</v>
      </c>
      <c r="Z319">
        <f t="shared" si="13"/>
        <v>24</v>
      </c>
      <c r="AA319" t="str">
        <f t="shared" si="14"/>
        <v>No Discount</v>
      </c>
    </row>
    <row r="320" spans="1:27">
      <c r="A320" t="s">
        <v>1367</v>
      </c>
      <c r="B320" s="1" t="d">
        <v>2024-12-24</v>
      </c>
      <c r="C320" t="s">
        <v>1368</v>
      </c>
      <c r="D320" t="s">
        <v>38</v>
      </c>
      <c r="E320" t="s">
        <v>1369</v>
      </c>
      <c r="F320" t="s">
        <v>71</v>
      </c>
      <c r="G320" t="s">
        <v>1370</v>
      </c>
      <c r="H320">
        <v>499</v>
      </c>
      <c r="I320">
        <v>3</v>
      </c>
      <c r="J320">
        <v>1497</v>
      </c>
      <c r="K320" s="2" t="d">
        <v>2020-12-01</v>
      </c>
      <c r="L320">
        <v>20</v>
      </c>
      <c r="M320" t="s">
        <v>111</v>
      </c>
      <c r="N320" t="s">
        <v>30</v>
      </c>
      <c r="O320" t="s">
        <v>143</v>
      </c>
      <c r="P320" t="s">
        <v>144</v>
      </c>
      <c r="Q320" t="s">
        <v>45</v>
      </c>
      <c r="R320" s="1" t="d">
        <v>2025-01-16</v>
      </c>
      <c r="S320" t="s">
        <v>33</v>
      </c>
      <c r="T320" t="s">
        <v>34</v>
      </c>
      <c r="W320" t="s">
        <v>35</v>
      </c>
      <c r="Y320" s="1" t="d">
        <f t="shared" si="12"/>
        <v>2024-12-23</v>
      </c>
      <c r="Z320">
        <f t="shared" si="13"/>
        <v>23</v>
      </c>
      <c r="AA320" t="str">
        <f t="shared" si="14"/>
        <v>Low (1-20%)</v>
      </c>
    </row>
    <row r="321" spans="1:27">
      <c r="A321" t="s">
        <v>1371</v>
      </c>
      <c r="B321" s="1" t="d">
        <v>2024-12-24</v>
      </c>
      <c r="C321" t="s">
        <v>1372</v>
      </c>
      <c r="D321" t="s">
        <v>25</v>
      </c>
      <c r="E321" t="s">
        <v>1373</v>
      </c>
      <c r="F321" t="s">
        <v>27</v>
      </c>
      <c r="G321" t="s">
        <v>1374</v>
      </c>
      <c r="H321">
        <v>1799</v>
      </c>
      <c r="I321">
        <v>1</v>
      </c>
      <c r="J321">
        <v>1799</v>
      </c>
      <c r="L321">
        <v>0</v>
      </c>
      <c r="M321" t="s">
        <v>64</v>
      </c>
      <c r="N321" t="s">
        <v>44</v>
      </c>
      <c r="O321" t="s">
        <v>150</v>
      </c>
      <c r="P321" t="s">
        <v>151</v>
      </c>
      <c r="Q321" t="s">
        <v>31</v>
      </c>
      <c r="R321" s="1" t="d">
        <v>2025-01-17</v>
      </c>
      <c r="S321" t="s">
        <v>33</v>
      </c>
      <c r="T321" t="s">
        <v>46</v>
      </c>
      <c r="U321" t="s">
        <v>68</v>
      </c>
      <c r="V321" s="1" t="d">
        <v>2025-02-13</v>
      </c>
      <c r="W321" t="s">
        <v>48</v>
      </c>
      <c r="Y321" s="1" t="d">
        <f t="shared" si="12"/>
        <v>2024-12-23</v>
      </c>
      <c r="Z321">
        <f t="shared" si="13"/>
        <v>24</v>
      </c>
      <c r="AA321" t="str">
        <f t="shared" si="14"/>
        <v>No Discount</v>
      </c>
    </row>
    <row r="322" spans="1:27">
      <c r="A322" t="s">
        <v>1375</v>
      </c>
      <c r="B322" s="1" t="d">
        <v>2024-12-24</v>
      </c>
      <c r="C322" t="s">
        <v>1376</v>
      </c>
      <c r="D322" t="s">
        <v>25</v>
      </c>
      <c r="E322" t="s">
        <v>1377</v>
      </c>
      <c r="F322" t="s">
        <v>40</v>
      </c>
      <c r="G322" t="s">
        <v>1378</v>
      </c>
      <c r="H322">
        <v>4299</v>
      </c>
      <c r="I322">
        <v>1</v>
      </c>
      <c r="J322">
        <v>4299</v>
      </c>
      <c r="L322">
        <v>0</v>
      </c>
      <c r="M322" t="s">
        <v>43</v>
      </c>
      <c r="N322" t="s">
        <v>65</v>
      </c>
      <c r="O322" t="s">
        <v>156</v>
      </c>
      <c r="P322" t="s">
        <v>97</v>
      </c>
      <c r="Q322" t="s">
        <v>31</v>
      </c>
      <c r="R322" s="1" t="d">
        <v>2025-01-18</v>
      </c>
      <c r="S322" t="s">
        <v>33</v>
      </c>
      <c r="T322" t="s">
        <v>46</v>
      </c>
      <c r="U322" t="s">
        <v>47</v>
      </c>
      <c r="V322" s="1" t="d">
        <v>2025-02-15</v>
      </c>
      <c r="W322" t="s">
        <v>48</v>
      </c>
      <c r="Y322" s="1" t="d">
        <f t="shared" si="12"/>
        <v>2024-12-23</v>
      </c>
      <c r="Z322">
        <f t="shared" si="13"/>
        <v>25</v>
      </c>
      <c r="AA322" t="str">
        <f t="shared" si="14"/>
        <v>No Discount</v>
      </c>
    </row>
    <row r="323" spans="1:27">
      <c r="A323" t="s">
        <v>1379</v>
      </c>
      <c r="B323" s="1" t="d">
        <v>2024-12-25</v>
      </c>
      <c r="C323" t="s">
        <v>1380</v>
      </c>
      <c r="D323" t="s">
        <v>25</v>
      </c>
      <c r="E323" t="s">
        <v>1381</v>
      </c>
      <c r="F323" t="s">
        <v>53</v>
      </c>
      <c r="G323" t="s">
        <v>1382</v>
      </c>
      <c r="H323">
        <v>1899</v>
      </c>
      <c r="I323">
        <v>1</v>
      </c>
      <c r="J323">
        <v>1899</v>
      </c>
      <c r="K323" s="2" t="d">
        <v>2020-12-01</v>
      </c>
      <c r="L323">
        <v>20</v>
      </c>
      <c r="M323" t="s">
        <v>29</v>
      </c>
      <c r="N323" t="s">
        <v>30</v>
      </c>
      <c r="O323" t="s">
        <v>161</v>
      </c>
      <c r="P323" t="s">
        <v>162</v>
      </c>
      <c r="Q323" t="s">
        <v>45</v>
      </c>
      <c r="R323" s="1" t="d">
        <v>2025-01-18</v>
      </c>
      <c r="S323" t="s">
        <v>33</v>
      </c>
      <c r="T323" t="s">
        <v>34</v>
      </c>
      <c r="W323" t="s">
        <v>35</v>
      </c>
      <c r="Y323" s="1" t="d">
        <f t="shared" ref="Y323:Y347" si="15">B323 - WEEKDAY(B323,2) + 1</f>
        <v>2024-12-23</v>
      </c>
      <c r="Z323">
        <f t="shared" ref="Z323:Z347" si="16">IF(R323&lt;&gt;"", R323-B323, "")</f>
        <v>24</v>
      </c>
      <c r="AA323" t="str">
        <f t="shared" ref="AA323:AA347" si="17">IF(L323=0, "No Discount", IF(L323&lt;=20, "Low (1-20%)", "High (20%+)"))</f>
        <v>Low (1-20%)</v>
      </c>
    </row>
    <row r="324" spans="1:27">
      <c r="A324" t="s">
        <v>1383</v>
      </c>
      <c r="B324" s="1" t="d">
        <v>2024-12-25</v>
      </c>
      <c r="C324" t="s">
        <v>1384</v>
      </c>
      <c r="D324" t="s">
        <v>25</v>
      </c>
      <c r="E324" t="s">
        <v>1385</v>
      </c>
      <c r="F324" t="s">
        <v>61</v>
      </c>
      <c r="G324" t="s">
        <v>1386</v>
      </c>
      <c r="H324">
        <v>4999</v>
      </c>
      <c r="I324">
        <v>1</v>
      </c>
      <c r="J324">
        <v>4999</v>
      </c>
      <c r="L324">
        <v>0</v>
      </c>
      <c r="M324" t="s">
        <v>55</v>
      </c>
      <c r="N324" t="s">
        <v>44</v>
      </c>
      <c r="O324" t="s">
        <v>167</v>
      </c>
      <c r="P324" t="s">
        <v>151</v>
      </c>
      <c r="Q324" t="s">
        <v>31</v>
      </c>
      <c r="R324" s="1" t="d">
        <v>2025-01-19</v>
      </c>
      <c r="S324" t="s">
        <v>33</v>
      </c>
      <c r="T324" t="s">
        <v>46</v>
      </c>
      <c r="U324" t="s">
        <v>104</v>
      </c>
      <c r="V324" s="1" t="d">
        <v>2025-02-16</v>
      </c>
      <c r="W324" t="s">
        <v>48</v>
      </c>
      <c r="Y324" s="1" t="d">
        <f t="shared" si="15"/>
        <v>2024-12-23</v>
      </c>
      <c r="Z324">
        <f t="shared" si="16"/>
        <v>25</v>
      </c>
      <c r="AA324" t="str">
        <f t="shared" si="17"/>
        <v>No Discount</v>
      </c>
    </row>
    <row r="325" spans="1:27">
      <c r="A325" t="s">
        <v>1387</v>
      </c>
      <c r="B325" s="1" t="d">
        <v>2024-12-25</v>
      </c>
      <c r="C325" t="s">
        <v>1388</v>
      </c>
      <c r="D325" t="s">
        <v>38</v>
      </c>
      <c r="E325" t="s">
        <v>1389</v>
      </c>
      <c r="F325" t="s">
        <v>71</v>
      </c>
      <c r="G325" t="s">
        <v>1390</v>
      </c>
      <c r="H325">
        <v>1399</v>
      </c>
      <c r="I325">
        <v>1</v>
      </c>
      <c r="J325">
        <v>1399</v>
      </c>
      <c r="L325">
        <v>0</v>
      </c>
      <c r="M325" t="s">
        <v>111</v>
      </c>
      <c r="N325" t="s">
        <v>65</v>
      </c>
      <c r="O325" t="s">
        <v>172</v>
      </c>
      <c r="P325" t="s">
        <v>32</v>
      </c>
      <c r="Q325" t="s">
        <v>31</v>
      </c>
      <c r="R325" s="1" t="d">
        <v>2025-01-18</v>
      </c>
      <c r="S325" t="s">
        <v>33</v>
      </c>
      <c r="T325" t="s">
        <v>34</v>
      </c>
      <c r="W325" t="s">
        <v>35</v>
      </c>
      <c r="Y325" s="1" t="d">
        <f t="shared" si="15"/>
        <v>2024-12-23</v>
      </c>
      <c r="Z325">
        <f t="shared" si="16"/>
        <v>24</v>
      </c>
      <c r="AA325" t="str">
        <f t="shared" si="17"/>
        <v>No Discount</v>
      </c>
    </row>
    <row r="326" spans="1:27">
      <c r="A326" t="s">
        <v>1391</v>
      </c>
      <c r="B326" s="1" t="d">
        <v>2024-12-25</v>
      </c>
      <c r="C326" t="s">
        <v>1392</v>
      </c>
      <c r="D326" t="s">
        <v>25</v>
      </c>
      <c r="E326" t="s">
        <v>1393</v>
      </c>
      <c r="F326" t="s">
        <v>27</v>
      </c>
      <c r="G326" t="s">
        <v>1394</v>
      </c>
      <c r="H326">
        <v>2099</v>
      </c>
      <c r="I326">
        <v>1</v>
      </c>
      <c r="J326">
        <v>2099</v>
      </c>
      <c r="K326" s="2" t="d">
        <v>2020-12-01</v>
      </c>
      <c r="L326">
        <v>20</v>
      </c>
      <c r="M326" t="s">
        <v>64</v>
      </c>
      <c r="N326" t="s">
        <v>30</v>
      </c>
      <c r="O326" t="s">
        <v>177</v>
      </c>
      <c r="P326" t="s">
        <v>67</v>
      </c>
      <c r="Q326" t="s">
        <v>56</v>
      </c>
      <c r="R326" s="1" t="d">
        <v>2025-01-19</v>
      </c>
      <c r="S326" t="s">
        <v>33</v>
      </c>
      <c r="T326" t="s">
        <v>46</v>
      </c>
      <c r="U326" t="s">
        <v>138</v>
      </c>
      <c r="V326" s="1" t="d">
        <v>2025-02-15</v>
      </c>
      <c r="W326" t="s">
        <v>48</v>
      </c>
      <c r="Y326" s="1" t="d">
        <f t="shared" si="15"/>
        <v>2024-12-23</v>
      </c>
      <c r="Z326">
        <f t="shared" si="16"/>
        <v>25</v>
      </c>
      <c r="AA326" t="str">
        <f t="shared" si="17"/>
        <v>Low (1-20%)</v>
      </c>
    </row>
    <row r="327" spans="1:27">
      <c r="A327" t="s">
        <v>1395</v>
      </c>
      <c r="B327" s="1" t="d">
        <v>2024-12-26</v>
      </c>
      <c r="C327" t="s">
        <v>1396</v>
      </c>
      <c r="D327" t="s">
        <v>25</v>
      </c>
      <c r="E327" t="s">
        <v>1397</v>
      </c>
      <c r="F327" t="s">
        <v>40</v>
      </c>
      <c r="G327" t="s">
        <v>1398</v>
      </c>
      <c r="H327">
        <v>2999</v>
      </c>
      <c r="I327">
        <v>1</v>
      </c>
      <c r="J327">
        <v>2999</v>
      </c>
      <c r="L327">
        <v>0</v>
      </c>
      <c r="M327" t="s">
        <v>43</v>
      </c>
      <c r="N327" t="s">
        <v>44</v>
      </c>
      <c r="O327" t="s">
        <v>182</v>
      </c>
      <c r="P327" t="s">
        <v>183</v>
      </c>
      <c r="Q327" t="s">
        <v>56</v>
      </c>
      <c r="R327" s="1" t="d">
        <v>2025-01-20</v>
      </c>
      <c r="S327" t="s">
        <v>33</v>
      </c>
      <c r="T327" t="s">
        <v>46</v>
      </c>
      <c r="U327" t="s">
        <v>47</v>
      </c>
      <c r="V327" s="1" t="d">
        <v>2025-02-17</v>
      </c>
      <c r="W327" t="s">
        <v>48</v>
      </c>
      <c r="Y327" s="1" t="d">
        <f t="shared" si="15"/>
        <v>2024-12-23</v>
      </c>
      <c r="Z327">
        <f t="shared" si="16"/>
        <v>25</v>
      </c>
      <c r="AA327" t="str">
        <f t="shared" si="17"/>
        <v>No Discount</v>
      </c>
    </row>
    <row r="328" spans="1:27">
      <c r="A328" t="s">
        <v>1399</v>
      </c>
      <c r="B328" s="1" t="d">
        <v>2024-12-26</v>
      </c>
      <c r="C328" t="s">
        <v>1400</v>
      </c>
      <c r="D328" t="s">
        <v>25</v>
      </c>
      <c r="E328" t="s">
        <v>1401</v>
      </c>
      <c r="F328" t="s">
        <v>53</v>
      </c>
      <c r="G328" t="s">
        <v>1402</v>
      </c>
      <c r="H328">
        <v>2199</v>
      </c>
      <c r="I328">
        <v>1</v>
      </c>
      <c r="J328">
        <v>2199</v>
      </c>
      <c r="L328">
        <v>0</v>
      </c>
      <c r="M328" t="s">
        <v>29</v>
      </c>
      <c r="N328" t="s">
        <v>65</v>
      </c>
      <c r="O328" t="s">
        <v>188</v>
      </c>
      <c r="P328" t="s">
        <v>189</v>
      </c>
      <c r="Q328" t="s">
        <v>56</v>
      </c>
      <c r="R328" s="1" t="d">
        <v>2025-01-20</v>
      </c>
      <c r="S328" t="s">
        <v>33</v>
      </c>
      <c r="T328" t="s">
        <v>34</v>
      </c>
      <c r="W328" t="s">
        <v>35</v>
      </c>
      <c r="Y328" s="1" t="d">
        <f t="shared" si="15"/>
        <v>2024-12-23</v>
      </c>
      <c r="Z328">
        <f t="shared" si="16"/>
        <v>25</v>
      </c>
      <c r="AA328" t="str">
        <f t="shared" si="17"/>
        <v>No Discount</v>
      </c>
    </row>
    <row r="329" spans="1:27">
      <c r="A329" t="s">
        <v>1403</v>
      </c>
      <c r="B329" s="1" t="d">
        <v>2024-12-26</v>
      </c>
      <c r="C329" t="s">
        <v>1404</v>
      </c>
      <c r="D329" t="s">
        <v>25</v>
      </c>
      <c r="E329" t="s">
        <v>1405</v>
      </c>
      <c r="F329" t="s">
        <v>61</v>
      </c>
      <c r="G329" t="s">
        <v>1406</v>
      </c>
      <c r="H329">
        <v>5999</v>
      </c>
      <c r="I329">
        <v>1</v>
      </c>
      <c r="J329">
        <v>5999</v>
      </c>
      <c r="K329" s="2" t="d">
        <v>2020-12-01</v>
      </c>
      <c r="L329">
        <v>20</v>
      </c>
      <c r="M329" t="s">
        <v>55</v>
      </c>
      <c r="N329" t="s">
        <v>30</v>
      </c>
      <c r="O329" t="s">
        <v>194</v>
      </c>
      <c r="P329" t="s">
        <v>183</v>
      </c>
      <c r="Q329" t="s">
        <v>56</v>
      </c>
      <c r="R329" s="1" t="d">
        <v>2025-01-21</v>
      </c>
      <c r="S329" t="s">
        <v>33</v>
      </c>
      <c r="T329" t="s">
        <v>46</v>
      </c>
      <c r="U329" t="s">
        <v>79</v>
      </c>
      <c r="V329" s="1" t="d">
        <v>2025-02-18</v>
      </c>
      <c r="W329" t="s">
        <v>48</v>
      </c>
      <c r="Y329" s="1" t="d">
        <f t="shared" si="15"/>
        <v>2024-12-23</v>
      </c>
      <c r="Z329">
        <f t="shared" si="16"/>
        <v>26</v>
      </c>
      <c r="AA329" t="str">
        <f t="shared" si="17"/>
        <v>Low (1-20%)</v>
      </c>
    </row>
    <row r="330" spans="1:27">
      <c r="A330" t="s">
        <v>1407</v>
      </c>
      <c r="B330" s="1" t="d">
        <v>2024-12-26</v>
      </c>
      <c r="C330" t="s">
        <v>1408</v>
      </c>
      <c r="D330" t="s">
        <v>38</v>
      </c>
      <c r="E330" t="s">
        <v>1409</v>
      </c>
      <c r="F330" t="s">
        <v>71</v>
      </c>
      <c r="G330" t="s">
        <v>1410</v>
      </c>
      <c r="H330">
        <v>1299</v>
      </c>
      <c r="I330">
        <v>1</v>
      </c>
      <c r="J330">
        <v>1299</v>
      </c>
      <c r="L330">
        <v>0</v>
      </c>
      <c r="M330" t="s">
        <v>111</v>
      </c>
      <c r="N330" t="s">
        <v>44</v>
      </c>
      <c r="O330" t="s">
        <v>199</v>
      </c>
      <c r="P330" t="s">
        <v>57</v>
      </c>
      <c r="Q330" t="s">
        <v>56</v>
      </c>
      <c r="R330" s="1" t="d">
        <v>2025-01-20</v>
      </c>
      <c r="S330" t="s">
        <v>33</v>
      </c>
      <c r="T330" t="s">
        <v>46</v>
      </c>
      <c r="U330" t="s">
        <v>68</v>
      </c>
      <c r="V330" s="1" t="d">
        <v>2025-02-16</v>
      </c>
      <c r="W330" t="s">
        <v>48</v>
      </c>
      <c r="Y330" s="1" t="d">
        <f t="shared" si="15"/>
        <v>2024-12-23</v>
      </c>
      <c r="Z330">
        <f t="shared" si="16"/>
        <v>25</v>
      </c>
      <c r="AA330" t="str">
        <f t="shared" si="17"/>
        <v>No Discount</v>
      </c>
    </row>
    <row r="331" spans="1:27">
      <c r="A331" t="s">
        <v>1411</v>
      </c>
      <c r="B331" s="1" t="d">
        <v>2024-12-27</v>
      </c>
      <c r="C331" t="s">
        <v>1412</v>
      </c>
      <c r="D331" t="s">
        <v>25</v>
      </c>
      <c r="E331" t="s">
        <v>1413</v>
      </c>
      <c r="F331" t="s">
        <v>27</v>
      </c>
      <c r="G331" t="s">
        <v>1414</v>
      </c>
      <c r="H331">
        <v>999</v>
      </c>
      <c r="I331">
        <v>2</v>
      </c>
      <c r="J331">
        <v>1998</v>
      </c>
      <c r="L331">
        <v>0</v>
      </c>
      <c r="M331" t="s">
        <v>64</v>
      </c>
      <c r="N331" t="s">
        <v>65</v>
      </c>
      <c r="O331" t="s">
        <v>204</v>
      </c>
      <c r="P331" t="s">
        <v>97</v>
      </c>
      <c r="Q331" t="s">
        <v>31</v>
      </c>
      <c r="R331" s="1" t="d">
        <v>2025-01-21</v>
      </c>
      <c r="S331" t="s">
        <v>33</v>
      </c>
      <c r="T331" t="s">
        <v>34</v>
      </c>
      <c r="W331" t="s">
        <v>35</v>
      </c>
      <c r="Y331" s="1" t="d">
        <f t="shared" si="15"/>
        <v>2024-12-23</v>
      </c>
      <c r="Z331">
        <f t="shared" si="16"/>
        <v>25</v>
      </c>
      <c r="AA331" t="str">
        <f t="shared" si="17"/>
        <v>No Discount</v>
      </c>
    </row>
    <row r="332" spans="1:27">
      <c r="A332" t="s">
        <v>1415</v>
      </c>
      <c r="B332" s="1" t="d">
        <v>2024-12-27</v>
      </c>
      <c r="C332" t="s">
        <v>1416</v>
      </c>
      <c r="D332" t="s">
        <v>25</v>
      </c>
      <c r="E332" t="s">
        <v>1417</v>
      </c>
      <c r="F332" t="s">
        <v>40</v>
      </c>
      <c r="G332" t="s">
        <v>1418</v>
      </c>
      <c r="H332">
        <v>3499</v>
      </c>
      <c r="I332">
        <v>1</v>
      </c>
      <c r="J332">
        <v>3499</v>
      </c>
      <c r="K332" s="2" t="d">
        <v>2020-12-01</v>
      </c>
      <c r="L332">
        <v>20</v>
      </c>
      <c r="M332" t="s">
        <v>43</v>
      </c>
      <c r="N332" t="s">
        <v>30</v>
      </c>
      <c r="O332" t="s">
        <v>209</v>
      </c>
      <c r="P332" t="s">
        <v>97</v>
      </c>
      <c r="Q332" t="s">
        <v>31</v>
      </c>
      <c r="R332" s="1" t="d">
        <v>2025-01-22</v>
      </c>
      <c r="S332" t="s">
        <v>33</v>
      </c>
      <c r="T332" t="s">
        <v>46</v>
      </c>
      <c r="U332" t="s">
        <v>47</v>
      </c>
      <c r="V332" s="1" t="d">
        <v>2025-02-19</v>
      </c>
      <c r="W332" t="s">
        <v>48</v>
      </c>
      <c r="Y332" s="1" t="d">
        <f t="shared" si="15"/>
        <v>2024-12-23</v>
      </c>
      <c r="Z332">
        <f t="shared" si="16"/>
        <v>26</v>
      </c>
      <c r="AA332" t="str">
        <f t="shared" si="17"/>
        <v>Low (1-20%)</v>
      </c>
    </row>
    <row r="333" spans="1:27">
      <c r="A333" t="s">
        <v>1419</v>
      </c>
      <c r="B333" s="1" t="d">
        <v>2024-12-27</v>
      </c>
      <c r="C333" t="s">
        <v>1420</v>
      </c>
      <c r="D333" t="s">
        <v>25</v>
      </c>
      <c r="E333" t="s">
        <v>1421</v>
      </c>
      <c r="F333" t="s">
        <v>53</v>
      </c>
      <c r="G333" t="s">
        <v>1422</v>
      </c>
      <c r="H333">
        <v>1799</v>
      </c>
      <c r="I333">
        <v>1</v>
      </c>
      <c r="J333">
        <v>1799</v>
      </c>
      <c r="L333">
        <v>0</v>
      </c>
      <c r="M333" t="s">
        <v>29</v>
      </c>
      <c r="N333" t="s">
        <v>44</v>
      </c>
      <c r="O333" t="s">
        <v>214</v>
      </c>
      <c r="P333" t="s">
        <v>113</v>
      </c>
      <c r="Q333" t="s">
        <v>45</v>
      </c>
      <c r="R333" s="1" t="d">
        <v>2025-01-22</v>
      </c>
      <c r="S333" t="s">
        <v>33</v>
      </c>
      <c r="T333" t="s">
        <v>34</v>
      </c>
      <c r="W333" t="s">
        <v>35</v>
      </c>
      <c r="Y333" s="1" t="d">
        <f t="shared" si="15"/>
        <v>2024-12-23</v>
      </c>
      <c r="Z333">
        <f t="shared" si="16"/>
        <v>26</v>
      </c>
      <c r="AA333" t="str">
        <f t="shared" si="17"/>
        <v>No Discount</v>
      </c>
    </row>
    <row r="334" spans="1:27">
      <c r="A334" t="s">
        <v>1423</v>
      </c>
      <c r="B334" s="1" t="d">
        <v>2024-12-27</v>
      </c>
      <c r="C334" t="s">
        <v>1424</v>
      </c>
      <c r="D334" t="s">
        <v>25</v>
      </c>
      <c r="E334" t="s">
        <v>1425</v>
      </c>
      <c r="F334" t="s">
        <v>61</v>
      </c>
      <c r="G334" t="s">
        <v>1426</v>
      </c>
      <c r="H334">
        <v>4599</v>
      </c>
      <c r="I334">
        <v>1</v>
      </c>
      <c r="J334">
        <v>4599</v>
      </c>
      <c r="L334">
        <v>0</v>
      </c>
      <c r="M334" t="s">
        <v>55</v>
      </c>
      <c r="N334" t="s">
        <v>65</v>
      </c>
      <c r="O334" t="s">
        <v>31</v>
      </c>
      <c r="P334" t="s">
        <v>32</v>
      </c>
      <c r="Q334" t="s">
        <v>31</v>
      </c>
      <c r="R334" s="1" t="d">
        <v>2025-01-23</v>
      </c>
      <c r="S334" t="s">
        <v>33</v>
      </c>
      <c r="T334" t="s">
        <v>46</v>
      </c>
      <c r="U334" t="s">
        <v>104</v>
      </c>
      <c r="V334" s="1" t="d">
        <v>2025-02-20</v>
      </c>
      <c r="W334" t="s">
        <v>48</v>
      </c>
      <c r="Y334" s="1" t="d">
        <f t="shared" si="15"/>
        <v>2024-12-23</v>
      </c>
      <c r="Z334">
        <f t="shared" si="16"/>
        <v>27</v>
      </c>
      <c r="AA334" t="str">
        <f t="shared" si="17"/>
        <v>No Discount</v>
      </c>
    </row>
    <row r="335" spans="1:27">
      <c r="A335" t="s">
        <v>1427</v>
      </c>
      <c r="B335" s="1" t="d">
        <v>2024-12-28</v>
      </c>
      <c r="C335" t="s">
        <v>1428</v>
      </c>
      <c r="D335" t="s">
        <v>38</v>
      </c>
      <c r="E335" t="s">
        <v>1429</v>
      </c>
      <c r="F335" t="s">
        <v>71</v>
      </c>
      <c r="G335" t="s">
        <v>1430</v>
      </c>
      <c r="H335">
        <v>799</v>
      </c>
      <c r="I335">
        <v>1</v>
      </c>
      <c r="J335">
        <v>799</v>
      </c>
      <c r="K335" s="2" t="d">
        <v>2020-12-01</v>
      </c>
      <c r="L335">
        <v>20</v>
      </c>
      <c r="M335" t="s">
        <v>111</v>
      </c>
      <c r="N335" t="s">
        <v>30</v>
      </c>
      <c r="O335" t="s">
        <v>45</v>
      </c>
      <c r="P335" t="s">
        <v>45</v>
      </c>
      <c r="Q335" t="s">
        <v>45</v>
      </c>
      <c r="R335" s="1" t="d">
        <v>2025-01-22</v>
      </c>
      <c r="S335" t="s">
        <v>33</v>
      </c>
      <c r="T335" t="s">
        <v>34</v>
      </c>
      <c r="W335" t="s">
        <v>35</v>
      </c>
      <c r="Y335" s="1" t="d">
        <f t="shared" si="15"/>
        <v>2024-12-23</v>
      </c>
      <c r="Z335">
        <f t="shared" si="16"/>
        <v>25</v>
      </c>
      <c r="AA335" t="str">
        <f t="shared" si="17"/>
        <v>Low (1-20%)</v>
      </c>
    </row>
    <row r="336" spans="1:27">
      <c r="A336" t="s">
        <v>1431</v>
      </c>
      <c r="B336" s="1" t="d">
        <v>2024-12-28</v>
      </c>
      <c r="C336" t="s">
        <v>1432</v>
      </c>
      <c r="D336" t="s">
        <v>25</v>
      </c>
      <c r="E336" t="s">
        <v>1433</v>
      </c>
      <c r="F336" t="s">
        <v>27</v>
      </c>
      <c r="G336" t="s">
        <v>1434</v>
      </c>
      <c r="H336">
        <v>1899</v>
      </c>
      <c r="I336">
        <v>1</v>
      </c>
      <c r="J336">
        <v>1899</v>
      </c>
      <c r="L336">
        <v>0</v>
      </c>
      <c r="M336" t="s">
        <v>64</v>
      </c>
      <c r="N336" t="s">
        <v>44</v>
      </c>
      <c r="O336" t="s">
        <v>90</v>
      </c>
      <c r="P336" t="s">
        <v>91</v>
      </c>
      <c r="Q336" t="s">
        <v>45</v>
      </c>
      <c r="R336" s="1" t="d">
        <v>2025-01-23</v>
      </c>
      <c r="S336" t="s">
        <v>33</v>
      </c>
      <c r="T336" t="s">
        <v>46</v>
      </c>
      <c r="U336" t="s">
        <v>138</v>
      </c>
      <c r="V336" s="1" t="d">
        <v>2025-02-19</v>
      </c>
      <c r="W336" t="s">
        <v>48</v>
      </c>
      <c r="Y336" s="1" t="d">
        <f t="shared" si="15"/>
        <v>2024-12-23</v>
      </c>
      <c r="Z336">
        <f t="shared" si="16"/>
        <v>26</v>
      </c>
      <c r="AA336" t="str">
        <f t="shared" si="17"/>
        <v>No Discount</v>
      </c>
    </row>
    <row r="337" spans="1:27">
      <c r="A337" t="s">
        <v>1435</v>
      </c>
      <c r="B337" s="1" t="d">
        <v>2024-12-28</v>
      </c>
      <c r="C337" t="s">
        <v>1436</v>
      </c>
      <c r="D337" t="s">
        <v>25</v>
      </c>
      <c r="E337" t="s">
        <v>1437</v>
      </c>
      <c r="F337" t="s">
        <v>40</v>
      </c>
      <c r="G337" t="s">
        <v>1438</v>
      </c>
      <c r="H337">
        <v>4099</v>
      </c>
      <c r="I337">
        <v>1</v>
      </c>
      <c r="J337">
        <v>4099</v>
      </c>
      <c r="L337">
        <v>0</v>
      </c>
      <c r="M337" t="s">
        <v>43</v>
      </c>
      <c r="N337" t="s">
        <v>65</v>
      </c>
      <c r="O337" t="s">
        <v>66</v>
      </c>
      <c r="P337" t="s">
        <v>67</v>
      </c>
      <c r="Q337" t="s">
        <v>56</v>
      </c>
      <c r="R337" s="1" t="d">
        <v>2025-01-24</v>
      </c>
      <c r="S337" t="s">
        <v>33</v>
      </c>
      <c r="T337" t="s">
        <v>46</v>
      </c>
      <c r="U337" t="s">
        <v>47</v>
      </c>
      <c r="V337" s="1" t="d">
        <v>2025-02-21</v>
      </c>
      <c r="W337" t="s">
        <v>48</v>
      </c>
      <c r="Y337" s="1" t="d">
        <f t="shared" si="15"/>
        <v>2024-12-23</v>
      </c>
      <c r="Z337">
        <f t="shared" si="16"/>
        <v>27</v>
      </c>
      <c r="AA337" t="str">
        <f t="shared" si="17"/>
        <v>No Discount</v>
      </c>
    </row>
    <row r="338" spans="1:27">
      <c r="A338" t="s">
        <v>1439</v>
      </c>
      <c r="B338" s="1" t="d">
        <v>2024-12-28</v>
      </c>
      <c r="C338" t="s">
        <v>1440</v>
      </c>
      <c r="D338" t="s">
        <v>25</v>
      </c>
      <c r="E338" t="s">
        <v>1441</v>
      </c>
      <c r="F338" t="s">
        <v>53</v>
      </c>
      <c r="G338" t="s">
        <v>1442</v>
      </c>
      <c r="H338">
        <v>2299</v>
      </c>
      <c r="I338">
        <v>1</v>
      </c>
      <c r="J338">
        <v>2299</v>
      </c>
      <c r="K338" s="2" t="d">
        <v>2020-12-01</v>
      </c>
      <c r="L338">
        <v>20</v>
      </c>
      <c r="M338" t="s">
        <v>29</v>
      </c>
      <c r="N338" t="s">
        <v>30</v>
      </c>
      <c r="O338" t="s">
        <v>77</v>
      </c>
      <c r="P338" t="s">
        <v>78</v>
      </c>
      <c r="Q338" t="s">
        <v>56</v>
      </c>
      <c r="R338" s="1" t="d">
        <v>2025-01-24</v>
      </c>
      <c r="S338" t="s">
        <v>33</v>
      </c>
      <c r="T338" t="s">
        <v>34</v>
      </c>
      <c r="W338" t="s">
        <v>35</v>
      </c>
      <c r="Y338" s="1" t="d">
        <f t="shared" si="15"/>
        <v>2024-12-23</v>
      </c>
      <c r="Z338">
        <f t="shared" si="16"/>
        <v>27</v>
      </c>
      <c r="AA338" t="str">
        <f t="shared" si="17"/>
        <v>Low (1-20%)</v>
      </c>
    </row>
    <row r="339" spans="1:27">
      <c r="A339" t="s">
        <v>1443</v>
      </c>
      <c r="B339" s="1" t="d">
        <v>2024-12-29</v>
      </c>
      <c r="C339" t="s">
        <v>1444</v>
      </c>
      <c r="D339" t="s">
        <v>25</v>
      </c>
      <c r="E339" t="s">
        <v>1445</v>
      </c>
      <c r="F339" t="s">
        <v>61</v>
      </c>
      <c r="G339" t="s">
        <v>1446</v>
      </c>
      <c r="H339">
        <v>5799</v>
      </c>
      <c r="I339">
        <v>1</v>
      </c>
      <c r="J339">
        <v>5799</v>
      </c>
      <c r="L339">
        <v>0</v>
      </c>
      <c r="M339" t="s">
        <v>55</v>
      </c>
      <c r="N339" t="s">
        <v>44</v>
      </c>
      <c r="O339" t="s">
        <v>84</v>
      </c>
      <c r="P339" t="s">
        <v>32</v>
      </c>
      <c r="Q339" t="s">
        <v>31</v>
      </c>
      <c r="R339" s="1" t="d">
        <v>2025-01-25</v>
      </c>
      <c r="S339" t="s">
        <v>33</v>
      </c>
      <c r="T339" t="s">
        <v>46</v>
      </c>
      <c r="U339" t="s">
        <v>79</v>
      </c>
      <c r="V339" s="1" t="d">
        <v>2025-02-22</v>
      </c>
      <c r="W339" t="s">
        <v>48</v>
      </c>
      <c r="Y339" s="1" t="d">
        <f t="shared" si="15"/>
        <v>2024-12-23</v>
      </c>
      <c r="Z339">
        <f t="shared" si="16"/>
        <v>27</v>
      </c>
      <c r="AA339" t="str">
        <f t="shared" si="17"/>
        <v>No Discount</v>
      </c>
    </row>
    <row r="340" spans="1:27">
      <c r="A340" t="s">
        <v>1447</v>
      </c>
      <c r="B340" s="1" t="d">
        <v>2024-12-29</v>
      </c>
      <c r="C340" t="s">
        <v>1448</v>
      </c>
      <c r="D340" t="s">
        <v>38</v>
      </c>
      <c r="E340" t="s">
        <v>1449</v>
      </c>
      <c r="F340" t="s">
        <v>71</v>
      </c>
      <c r="G340" t="s">
        <v>1450</v>
      </c>
      <c r="H340">
        <v>699</v>
      </c>
      <c r="I340">
        <v>2</v>
      </c>
      <c r="J340">
        <v>1398</v>
      </c>
      <c r="L340">
        <v>0</v>
      </c>
      <c r="M340" t="s">
        <v>111</v>
      </c>
      <c r="N340" t="s">
        <v>65</v>
      </c>
      <c r="O340" t="s">
        <v>96</v>
      </c>
      <c r="P340" t="s">
        <v>97</v>
      </c>
      <c r="Q340" t="s">
        <v>31</v>
      </c>
      <c r="R340" s="1" t="d">
        <v>2025-01-24</v>
      </c>
      <c r="S340" t="s">
        <v>33</v>
      </c>
      <c r="T340" t="s">
        <v>46</v>
      </c>
      <c r="U340" t="s">
        <v>68</v>
      </c>
      <c r="V340" s="1" t="d">
        <v>2025-02-20</v>
      </c>
      <c r="W340" t="s">
        <v>48</v>
      </c>
      <c r="Y340" s="1" t="d">
        <f t="shared" si="15"/>
        <v>2024-12-23</v>
      </c>
      <c r="Z340">
        <f t="shared" si="16"/>
        <v>26</v>
      </c>
      <c r="AA340" t="str">
        <f t="shared" si="17"/>
        <v>No Discount</v>
      </c>
    </row>
    <row r="341" spans="1:27">
      <c r="A341" t="s">
        <v>1451</v>
      </c>
      <c r="B341" s="1" t="d">
        <v>2024-12-29</v>
      </c>
      <c r="C341" t="s">
        <v>1452</v>
      </c>
      <c r="D341" t="s">
        <v>25</v>
      </c>
      <c r="E341" t="s">
        <v>1453</v>
      </c>
      <c r="F341" t="s">
        <v>27</v>
      </c>
      <c r="G341" t="s">
        <v>1454</v>
      </c>
      <c r="H341">
        <v>1999</v>
      </c>
      <c r="I341">
        <v>1</v>
      </c>
      <c r="J341">
        <v>1999</v>
      </c>
      <c r="K341" s="2" t="d">
        <v>2020-12-01</v>
      </c>
      <c r="L341">
        <v>20</v>
      </c>
      <c r="M341" t="s">
        <v>64</v>
      </c>
      <c r="N341" t="s">
        <v>30</v>
      </c>
      <c r="O341" t="s">
        <v>102</v>
      </c>
      <c r="P341" t="s">
        <v>103</v>
      </c>
      <c r="Q341" t="s">
        <v>45</v>
      </c>
      <c r="R341" s="1" t="d">
        <v>2025-01-25</v>
      </c>
      <c r="S341" t="s">
        <v>33</v>
      </c>
      <c r="T341" t="s">
        <v>34</v>
      </c>
      <c r="W341" t="s">
        <v>35</v>
      </c>
      <c r="Y341" s="1" t="d">
        <f t="shared" si="15"/>
        <v>2024-12-23</v>
      </c>
      <c r="Z341">
        <f t="shared" si="16"/>
        <v>27</v>
      </c>
      <c r="AA341" t="str">
        <f t="shared" si="17"/>
        <v>Low (1-20%)</v>
      </c>
    </row>
    <row r="342" spans="1:27">
      <c r="A342" t="s">
        <v>1455</v>
      </c>
      <c r="B342" s="1" t="d">
        <v>2024-12-29</v>
      </c>
      <c r="C342" t="s">
        <v>1452</v>
      </c>
      <c r="D342" t="s">
        <v>25</v>
      </c>
      <c r="E342" t="s">
        <v>1456</v>
      </c>
      <c r="F342" t="s">
        <v>40</v>
      </c>
      <c r="G342" t="s">
        <v>1457</v>
      </c>
      <c r="H342">
        <v>3899</v>
      </c>
      <c r="I342">
        <v>1</v>
      </c>
      <c r="J342">
        <v>3899</v>
      </c>
      <c r="L342">
        <v>0</v>
      </c>
      <c r="M342" t="s">
        <v>43</v>
      </c>
      <c r="N342" t="s">
        <v>44</v>
      </c>
      <c r="O342" t="s">
        <v>112</v>
      </c>
      <c r="P342" t="s">
        <v>113</v>
      </c>
      <c r="Q342" t="s">
        <v>45</v>
      </c>
      <c r="R342" s="1" t="d">
        <v>2025-01-26</v>
      </c>
      <c r="S342" t="s">
        <v>33</v>
      </c>
      <c r="T342" t="s">
        <v>46</v>
      </c>
      <c r="U342" t="s">
        <v>47</v>
      </c>
      <c r="V342" s="1" t="d">
        <v>2025-02-23</v>
      </c>
      <c r="W342" t="s">
        <v>48</v>
      </c>
      <c r="Y342" s="1" t="d">
        <f t="shared" si="15"/>
        <v>2024-12-23</v>
      </c>
      <c r="Z342">
        <f t="shared" si="16"/>
        <v>28</v>
      </c>
      <c r="AA342" t="str">
        <f t="shared" si="17"/>
        <v>No Discount</v>
      </c>
    </row>
    <row r="343" spans="1:27">
      <c r="A343" t="s">
        <v>1458</v>
      </c>
      <c r="B343" s="1" t="d">
        <v>2024-12-30</v>
      </c>
      <c r="C343" t="s">
        <v>1459</v>
      </c>
      <c r="D343" t="s">
        <v>25</v>
      </c>
      <c r="E343" t="s">
        <v>1460</v>
      </c>
      <c r="F343" t="s">
        <v>53</v>
      </c>
      <c r="G343" t="s">
        <v>1461</v>
      </c>
      <c r="H343">
        <v>2099</v>
      </c>
      <c r="I343">
        <v>1</v>
      </c>
      <c r="J343">
        <v>2099</v>
      </c>
      <c r="L343">
        <v>0</v>
      </c>
      <c r="M343" t="s">
        <v>29</v>
      </c>
      <c r="N343" t="s">
        <v>65</v>
      </c>
      <c r="O343" t="s">
        <v>56</v>
      </c>
      <c r="P343" t="s">
        <v>57</v>
      </c>
      <c r="Q343" t="s">
        <v>56</v>
      </c>
      <c r="R343" s="1" t="d">
        <v>2025-01-26</v>
      </c>
      <c r="S343" t="s">
        <v>33</v>
      </c>
      <c r="T343" t="s">
        <v>34</v>
      </c>
      <c r="W343" t="s">
        <v>35</v>
      </c>
      <c r="Y343" s="1" t="d">
        <f t="shared" si="15"/>
        <v>2024-12-30</v>
      </c>
      <c r="Z343">
        <f t="shared" si="16"/>
        <v>27</v>
      </c>
      <c r="AA343" t="str">
        <f t="shared" si="17"/>
        <v>No Discount</v>
      </c>
    </row>
    <row r="344" spans="1:27">
      <c r="A344" t="s">
        <v>1462</v>
      </c>
      <c r="B344" s="1" t="d">
        <v>2024-12-30</v>
      </c>
      <c r="C344" t="s">
        <v>1463</v>
      </c>
      <c r="D344" t="s">
        <v>25</v>
      </c>
      <c r="E344" t="s">
        <v>1464</v>
      </c>
      <c r="F344" t="s">
        <v>61</v>
      </c>
      <c r="G344" t="s">
        <v>1465</v>
      </c>
      <c r="H344">
        <v>4899</v>
      </c>
      <c r="I344">
        <v>1</v>
      </c>
      <c r="J344">
        <v>4899</v>
      </c>
      <c r="K344" s="2" t="d">
        <v>2020-12-01</v>
      </c>
      <c r="L344">
        <v>20</v>
      </c>
      <c r="M344" t="s">
        <v>55</v>
      </c>
      <c r="N344" t="s">
        <v>30</v>
      </c>
      <c r="O344" t="s">
        <v>31</v>
      </c>
      <c r="P344" t="s">
        <v>32</v>
      </c>
      <c r="Q344" t="s">
        <v>31</v>
      </c>
      <c r="R344" s="1" t="d">
        <v>2025-01-27</v>
      </c>
      <c r="S344" t="s">
        <v>33</v>
      </c>
      <c r="T344" t="s">
        <v>46</v>
      </c>
      <c r="U344" t="s">
        <v>104</v>
      </c>
      <c r="V344" s="1" t="d">
        <v>2025-02-24</v>
      </c>
      <c r="W344" t="s">
        <v>48</v>
      </c>
      <c r="Y344" s="1" t="d">
        <f t="shared" si="15"/>
        <v>2024-12-30</v>
      </c>
      <c r="Z344">
        <f t="shared" si="16"/>
        <v>28</v>
      </c>
      <c r="AA344" t="str">
        <f t="shared" si="17"/>
        <v>Low (1-20%)</v>
      </c>
    </row>
    <row r="345" spans="1:27">
      <c r="A345" t="s">
        <v>1466</v>
      </c>
      <c r="B345" s="1" t="d">
        <v>2024-12-30</v>
      </c>
      <c r="C345" t="s">
        <v>1467</v>
      </c>
      <c r="D345" t="s">
        <v>38</v>
      </c>
      <c r="E345" t="s">
        <v>1468</v>
      </c>
      <c r="F345" t="s">
        <v>71</v>
      </c>
      <c r="G345" t="s">
        <v>1469</v>
      </c>
      <c r="H345">
        <v>599</v>
      </c>
      <c r="I345">
        <v>3</v>
      </c>
      <c r="J345">
        <v>1797</v>
      </c>
      <c r="L345">
        <v>0</v>
      </c>
      <c r="M345" t="s">
        <v>111</v>
      </c>
      <c r="N345" t="s">
        <v>44</v>
      </c>
      <c r="O345" t="s">
        <v>45</v>
      </c>
      <c r="P345" t="s">
        <v>45</v>
      </c>
      <c r="Q345" t="s">
        <v>45</v>
      </c>
      <c r="R345" s="1" t="d">
        <v>2025-01-26</v>
      </c>
      <c r="S345" t="s">
        <v>33</v>
      </c>
      <c r="T345" t="s">
        <v>34</v>
      </c>
      <c r="W345" t="s">
        <v>35</v>
      </c>
      <c r="Y345" s="1" t="d">
        <f t="shared" si="15"/>
        <v>2024-12-30</v>
      </c>
      <c r="Z345">
        <f t="shared" si="16"/>
        <v>27</v>
      </c>
      <c r="AA345" t="str">
        <f t="shared" si="17"/>
        <v>No Discount</v>
      </c>
    </row>
    <row r="346" spans="1:27">
      <c r="A346" t="s">
        <v>1470</v>
      </c>
      <c r="B346" s="1" t="d">
        <v>2024-12-30</v>
      </c>
      <c r="C346" t="s">
        <v>1471</v>
      </c>
      <c r="D346" t="s">
        <v>25</v>
      </c>
      <c r="E346" t="s">
        <v>1472</v>
      </c>
      <c r="F346" t="s">
        <v>27</v>
      </c>
      <c r="G346" t="s">
        <v>1473</v>
      </c>
      <c r="H346">
        <v>2199</v>
      </c>
      <c r="I346">
        <v>1</v>
      </c>
      <c r="J346">
        <v>2199</v>
      </c>
      <c r="L346">
        <v>0</v>
      </c>
      <c r="M346" t="s">
        <v>64</v>
      </c>
      <c r="N346" t="s">
        <v>65</v>
      </c>
      <c r="O346" t="s">
        <v>118</v>
      </c>
      <c r="P346" t="s">
        <v>119</v>
      </c>
      <c r="Q346" t="s">
        <v>45</v>
      </c>
      <c r="R346" s="1" t="d">
        <v>2025-01-27</v>
      </c>
      <c r="S346" t="s">
        <v>33</v>
      </c>
      <c r="T346" t="s">
        <v>46</v>
      </c>
      <c r="U346" t="s">
        <v>138</v>
      </c>
      <c r="V346" s="1" t="d">
        <v>2025-02-23</v>
      </c>
      <c r="W346" t="s">
        <v>48</v>
      </c>
      <c r="Y346" s="1" t="d">
        <f t="shared" si="15"/>
        <v>2024-12-30</v>
      </c>
      <c r="Z346">
        <f t="shared" si="16"/>
        <v>28</v>
      </c>
      <c r="AA346" t="str">
        <f t="shared" si="17"/>
        <v>No Discount</v>
      </c>
    </row>
    <row r="347" spans="1:27">
      <c r="A347" t="s">
        <v>1474</v>
      </c>
      <c r="B347" s="1" t="d">
        <v>2024-12-31</v>
      </c>
      <c r="C347" t="s">
        <v>1475</v>
      </c>
      <c r="D347" t="s">
        <v>25</v>
      </c>
      <c r="E347" t="s">
        <v>1476</v>
      </c>
      <c r="F347" t="s">
        <v>40</v>
      </c>
      <c r="G347" t="s">
        <v>1159</v>
      </c>
      <c r="H347">
        <v>4499</v>
      </c>
      <c r="I347">
        <v>1</v>
      </c>
      <c r="J347">
        <v>4499</v>
      </c>
      <c r="K347" s="2" t="d">
        <v>2020-12-01</v>
      </c>
      <c r="L347">
        <v>20</v>
      </c>
      <c r="M347" t="s">
        <v>43</v>
      </c>
      <c r="N347" t="s">
        <v>30</v>
      </c>
      <c r="O347" t="s">
        <v>137</v>
      </c>
      <c r="P347" t="s">
        <v>113</v>
      </c>
      <c r="Q347" t="s">
        <v>45</v>
      </c>
      <c r="R347" s="1" t="d">
        <v>2025-01-28</v>
      </c>
      <c r="S347" t="s">
        <v>33</v>
      </c>
      <c r="T347" t="s">
        <v>46</v>
      </c>
      <c r="U347" t="s">
        <v>47</v>
      </c>
      <c r="V347" s="1" t="d">
        <v>2025-02-25</v>
      </c>
      <c r="W347" t="s">
        <v>48</v>
      </c>
      <c r="Y347" s="1" t="d">
        <f t="shared" si="15"/>
        <v>2024-12-30</v>
      </c>
      <c r="Z347">
        <f t="shared" si="16"/>
        <v>28</v>
      </c>
      <c r="AA347" t="str">
        <f t="shared" si="17"/>
        <v>Low (1-20%)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9203-BC4E-4CBA-A423-C62CC09FA8E0}">
  <dimension ref="A1:I347"/>
  <sheetViews>
    <sheetView topLeftCell="A19" workbookViewId="0">
      <selection activeCell="G1" sqref="G1"/>
    </sheetView>
  </sheetViews>
  <sheetFormatPr defaultRowHeight="15"/>
  <cols>
    <col min="1" max="1" width="13.28515625" style="1" customWidth="1"/>
    <col min="3" max="3" width="12.5703125" customWidth="1"/>
    <col min="4" max="4" width="14.140625" customWidth="1"/>
    <col min="5" max="6" width="17.85546875" customWidth="1"/>
    <col min="9" max="9" width="14.7109375" bestFit="1" customWidth="1"/>
  </cols>
  <sheetData>
    <row r="1" spans="1:9">
      <c r="A1" s="1" t="s">
        <v>1514</v>
      </c>
      <c r="B1" t="s">
        <v>1509</v>
      </c>
      <c r="C1" t="s">
        <v>1515</v>
      </c>
      <c r="D1" t="s">
        <v>1516</v>
      </c>
      <c r="E1" t="s">
        <v>1517</v>
      </c>
      <c r="F1" t="s">
        <v>1518</v>
      </c>
    </row>
    <row r="2" spans="1:9">
      <c r="A2" s="1" t="d">
        <f>MIN(Working_Data!Y:Y)</f>
        <v>2024-09-30</v>
      </c>
      <c r="B2">
        <f>COUNTIF(Working_Data!Y:Y, A2)</f>
        <v>27</v>
      </c>
      <c r="C2">
        <f>COUNTIFS(Working_Data!Y:Y, A2, Working_Data!S:S, "*Delivered*")</f>
        <v>24</v>
      </c>
      <c r="D2">
        <f>AVERAGEIF(Working_Data!$Y:$Y, A2, Working_Data!$L:$L)</f>
        <v>5.1851851851851851</v>
      </c>
      <c r="E2">
        <f>COUNTIFS(Working_Data!$Y:$Y, A2, Working_Data!$S:$S, "Delivered")</f>
        <v>24</v>
      </c>
      <c r="F2">
        <f>COUNTIFS(Working_Data!$Y:$Y, A2, Working_Data!$T:$T, "Yes")</f>
        <v>11</v>
      </c>
      <c r="I2" s="5"/>
    </row>
    <row r="3" spans="1:9">
      <c r="A3" s="1" t="d">
        <f>A2+7</f>
        <v>2024-10-07</v>
      </c>
      <c r="B3">
        <f>COUNTIF(Working_Data!Y:Y, A3)</f>
        <v>29</v>
      </c>
      <c r="C3">
        <f>COUNTIFS(Working_Data!Y:Y, A2, Working_Data!S:S, "*Delivered*")</f>
        <v>24</v>
      </c>
      <c r="D3">
        <f>AVERAGEIF(Working_Data!$Y:$Y, A3, Working_Data!$L:$L)</f>
        <v>5.1724137931034484</v>
      </c>
      <c r="E3">
        <f>COUNTIFS(Working_Data!$Y:$Y, A3, Working_Data!$S:$S, "Delivered")</f>
        <v>27</v>
      </c>
      <c r="F3">
        <f>COUNTIFS(Working_Data!$Y:$Y, A3, Working_Data!$T:$T, "Yes")</f>
        <v>11</v>
      </c>
    </row>
    <row r="4" spans="1:9">
      <c r="A4" s="1" t="d">
        <f t="shared" ref="A4:A16" si="0">A3+7</f>
        <v>2024-10-14</v>
      </c>
      <c r="B4">
        <f>COUNTIF(Working_Data!Y:Y, A4)</f>
        <v>28</v>
      </c>
      <c r="C4">
        <f>COUNTIFS(Working_Data!Y:Y, A3, Working_Data!S:S, "*Delivered*")</f>
        <v>27</v>
      </c>
      <c r="D4">
        <f>AVERAGEIF(Working_Data!$Y:$Y, A4, Working_Data!$L:$L)</f>
        <v>5.1785714285714288</v>
      </c>
      <c r="E4">
        <f>COUNTIFS(Working_Data!$Y:$Y, A4, Working_Data!$S:$S, "Delivered")</f>
        <v>26</v>
      </c>
      <c r="F4">
        <f>COUNTIFS(Working_Data!$Y:$Y, A4, Working_Data!$T:$T, "Yes")</f>
        <v>13</v>
      </c>
    </row>
    <row r="5" spans="1:9">
      <c r="A5" s="1" t="d">
        <f t="shared" si="0"/>
        <v>2024-10-21</v>
      </c>
      <c r="B5">
        <f>COUNTIF(Working_Data!Y:Y, A5)</f>
        <v>27</v>
      </c>
      <c r="C5">
        <f>COUNTIFS(Working_Data!Y:Y, A4, Working_Data!S:S, "*Delivered*")</f>
        <v>26</v>
      </c>
      <c r="D5">
        <f>AVERAGEIF(Working_Data!$Y:$Y, A5, Working_Data!$L:$L)</f>
        <v>5.5555555555555554</v>
      </c>
      <c r="E5">
        <f>COUNTIFS(Working_Data!$Y:$Y, A5, Working_Data!$S:$S, "Delivered")</f>
        <v>24</v>
      </c>
      <c r="F5">
        <f>COUNTIFS(Working_Data!$Y:$Y, A5, Working_Data!$T:$T, "Yes")</f>
        <v>10</v>
      </c>
    </row>
    <row r="6" spans="1:9">
      <c r="A6" s="1" t="d">
        <f t="shared" si="0"/>
        <v>2024-10-28</v>
      </c>
      <c r="B6">
        <f>COUNTIF(Working_Data!Y:Y, A6)</f>
        <v>33</v>
      </c>
      <c r="C6">
        <f>COUNTIFS(Working_Data!Y:Y, A5, Working_Data!S:S, "*Delivered*")</f>
        <v>24</v>
      </c>
      <c r="D6">
        <f>AVERAGEIF(Working_Data!$Y:$Y, A6, Working_Data!$L:$L)</f>
        <v>40</v>
      </c>
      <c r="E6">
        <f>COUNTIFS(Working_Data!$Y:$Y, A6, Working_Data!$S:$S, "Delivered")</f>
        <v>31</v>
      </c>
      <c r="F6">
        <f>COUNTIFS(Working_Data!$Y:$Y, A6, Working_Data!$T:$T, "Yes")</f>
        <v>24</v>
      </c>
    </row>
    <row r="7" spans="1:9">
      <c r="A7" s="1" t="d">
        <f t="shared" si="0"/>
        <v>2024-11-04</v>
      </c>
      <c r="B7">
        <f>COUNTIF(Working_Data!Y:Y, A7)</f>
        <v>21</v>
      </c>
      <c r="C7">
        <f>COUNTIFS(Working_Data!Y:Y, A6, Working_Data!S:S, "*Delivered*")</f>
        <v>31</v>
      </c>
      <c r="D7">
        <f>AVERAGEIF(Working_Data!$Y:$Y, A7, Working_Data!$L:$L)</f>
        <v>16.19047619047619</v>
      </c>
      <c r="E7">
        <f>COUNTIFS(Working_Data!$Y:$Y, A7, Working_Data!$S:$S, "Delivered")</f>
        <v>20</v>
      </c>
      <c r="F7">
        <f>COUNTIFS(Working_Data!$Y:$Y, A7, Working_Data!$T:$T, "Yes")</f>
        <v>11</v>
      </c>
    </row>
    <row r="8" spans="1:9">
      <c r="A8" s="1" t="d">
        <f t="shared" si="0"/>
        <v>2024-11-11</v>
      </c>
      <c r="B8">
        <f>COUNTIF(Working_Data!Y:Y, A8)</f>
        <v>21</v>
      </c>
      <c r="C8">
        <f>COUNTIFS(Working_Data!Y:Y, A7, Working_Data!S:S, "*Delivered*")</f>
        <v>20</v>
      </c>
      <c r="D8">
        <f>AVERAGEIF(Working_Data!$Y:$Y, A8, Working_Data!$L:$L)</f>
        <v>4.2857142857142856</v>
      </c>
      <c r="E8">
        <f>COUNTIFS(Working_Data!$Y:$Y, A8, Working_Data!$S:$S, "Delivered")</f>
        <v>20</v>
      </c>
      <c r="F8">
        <f>COUNTIFS(Working_Data!$Y:$Y, A8, Working_Data!$T:$T, "Yes")</f>
        <v>12</v>
      </c>
    </row>
    <row r="9" spans="1:9">
      <c r="A9" s="1" t="d">
        <f t="shared" si="0"/>
        <v>2024-11-18</v>
      </c>
      <c r="B9">
        <f>COUNTIF(Working_Data!Y:Y, A9)</f>
        <v>21</v>
      </c>
      <c r="C9">
        <f>COUNTIFS(Working_Data!Y:Y, A8, Working_Data!S:S, "*Delivered*")</f>
        <v>20</v>
      </c>
      <c r="D9">
        <f>AVERAGEIF(Working_Data!$Y:$Y, A9, Working_Data!$L:$L)</f>
        <v>3.5714285714285716</v>
      </c>
      <c r="E9">
        <f>COUNTIFS(Working_Data!$Y:$Y, A9, Working_Data!$S:$S, "Delivered")</f>
        <v>20</v>
      </c>
      <c r="F9">
        <f>COUNTIFS(Working_Data!$Y:$Y, A9, Working_Data!$T:$T, "Yes")</f>
        <v>11</v>
      </c>
    </row>
    <row r="10" spans="1:9">
      <c r="A10" s="1" t="d">
        <f t="shared" si="0"/>
        <v>2024-11-25</v>
      </c>
      <c r="B10">
        <f>COUNTIF(Working_Data!Y:Y, A10)</f>
        <v>22</v>
      </c>
      <c r="C10">
        <f>COUNTIFS(Working_Data!Y:Y, A9, Working_Data!S:S, "*Delivered*")</f>
        <v>20</v>
      </c>
      <c r="D10">
        <f>AVERAGEIF(Working_Data!$Y:$Y, A10, Working_Data!$L:$L)</f>
        <v>5.4545454545454541</v>
      </c>
      <c r="E10">
        <f>COUNTIFS(Working_Data!$Y:$Y, A10, Working_Data!$S:$S, "Delivered")</f>
        <v>21</v>
      </c>
      <c r="F10">
        <f>COUNTIFS(Working_Data!$Y:$Y, A10, Working_Data!$T:$T, "Yes")</f>
        <v>13</v>
      </c>
    </row>
    <row r="11" spans="1:9">
      <c r="A11" s="1" t="d">
        <f t="shared" si="0"/>
        <v>2024-12-02</v>
      </c>
      <c r="B11">
        <f>COUNTIF(Working_Data!Y:Y, A11)</f>
        <v>28</v>
      </c>
      <c r="C11">
        <f>COUNTIFS(Working_Data!Y:Y, A10, Working_Data!S:S, "*Delivered*")</f>
        <v>21</v>
      </c>
      <c r="D11">
        <f>AVERAGEIF(Working_Data!$Y:$Y, A11, Working_Data!$L:$L)</f>
        <v>8.5714285714285712</v>
      </c>
      <c r="E11">
        <f>COUNTIFS(Working_Data!$Y:$Y, A11, Working_Data!$S:$S, "Delivered")</f>
        <v>27</v>
      </c>
      <c r="F11">
        <f>COUNTIFS(Working_Data!$Y:$Y, A11, Working_Data!$T:$T, "Yes")</f>
        <v>11</v>
      </c>
    </row>
    <row r="12" spans="1:9">
      <c r="A12" s="1" t="d">
        <f t="shared" si="0"/>
        <v>2024-12-09</v>
      </c>
      <c r="B12">
        <f>COUNTIF(Working_Data!Y:Y, A12)</f>
        <v>28</v>
      </c>
      <c r="C12">
        <f>COUNTIFS(Working_Data!Y:Y, A11, Working_Data!S:S, "*Delivered*")</f>
        <v>27</v>
      </c>
      <c r="D12">
        <f>AVERAGEIF(Working_Data!$Y:$Y, A12, Working_Data!$L:$L)</f>
        <v>6.4285714285714288</v>
      </c>
      <c r="E12">
        <f>COUNTIFS(Working_Data!$Y:$Y, A12, Working_Data!$S:$S, "Delivered")</f>
        <v>27</v>
      </c>
      <c r="F12">
        <f>COUNTIFS(Working_Data!$Y:$Y, A12, Working_Data!$T:$T, "Yes")</f>
        <v>16</v>
      </c>
    </row>
    <row r="13" spans="1:9">
      <c r="A13" s="1" t="d">
        <f t="shared" si="0"/>
        <v>2024-12-16</v>
      </c>
      <c r="B13">
        <f>COUNTIF(Working_Data!Y:Y, A13)</f>
        <v>28</v>
      </c>
      <c r="C13">
        <f>COUNTIFS(Working_Data!Y:Y, A12, Working_Data!S:S, "*Delivered*")</f>
        <v>27</v>
      </c>
      <c r="D13">
        <f>AVERAGEIF(Working_Data!$Y:$Y, A13, Working_Data!$L:$L)</f>
        <v>7.1428571428571432</v>
      </c>
      <c r="E13">
        <f>COUNTIFS(Working_Data!$Y:$Y, A13, Working_Data!$S:$S, "Delivered")</f>
        <v>28</v>
      </c>
      <c r="F13">
        <f>COUNTIFS(Working_Data!$Y:$Y, A13, Working_Data!$T:$T, "Yes")</f>
        <v>17</v>
      </c>
    </row>
    <row r="14" spans="1:9">
      <c r="A14" s="1" t="d">
        <f t="shared" si="0"/>
        <v>2024-12-23</v>
      </c>
      <c r="B14">
        <f>COUNTIF(Working_Data!Y:Y, A14)</f>
        <v>28</v>
      </c>
      <c r="C14">
        <f>COUNTIFS(Working_Data!Y:Y, A13, Working_Data!S:S, "*Delivered*")</f>
        <v>28</v>
      </c>
      <c r="D14">
        <f>AVERAGEIF(Working_Data!$Y:$Y, A14, Working_Data!$L:$L)</f>
        <v>6.4285714285714288</v>
      </c>
      <c r="E14">
        <f>COUNTIFS(Working_Data!$Y:$Y, A14, Working_Data!$S:$S, "Delivered")</f>
        <v>28</v>
      </c>
      <c r="F14">
        <f>COUNTIFS(Working_Data!$Y:$Y, A14, Working_Data!$T:$T, "Yes")</f>
        <v>17</v>
      </c>
    </row>
    <row r="15" spans="1:9">
      <c r="A15" s="1" t="d">
        <f t="shared" si="0"/>
        <v>2024-12-30</v>
      </c>
      <c r="B15">
        <f>COUNTIF(Working_Data!Y:Y, A15)</f>
        <v>5</v>
      </c>
      <c r="C15">
        <f>COUNTIFS(Working_Data!Y:Y, A14, Working_Data!S:S, "*Delivered*")</f>
        <v>28</v>
      </c>
      <c r="D15">
        <f>AVERAGEIF(Working_Data!$Y:$Y, A15, Working_Data!$L:$L)</f>
        <v>8</v>
      </c>
      <c r="E15">
        <f>COUNTIFS(Working_Data!$Y:$Y, A15, Working_Data!$S:$S, "Delivered")</f>
        <v>5</v>
      </c>
      <c r="F15">
        <f>COUNTIFS(Working_Data!$Y:$Y, A15, Working_Data!$T:$T, "Yes")</f>
        <v>3</v>
      </c>
    </row>
    <row r="16" spans="1:9">
      <c r="A16" s="1" t="d">
        <f t="shared" si="0"/>
        <v>2025-01-06</v>
      </c>
      <c r="B16">
        <f>COUNTIF(Working_Data!Y:Y, A16)</f>
        <v>0</v>
      </c>
      <c r="C16">
        <f>COUNTIFS(Working_Data!Y:Y, A15, Working_Data!S:S, "*Delivered*")</f>
        <v>5</v>
      </c>
      <c r="D16">
        <v>0</v>
      </c>
      <c r="E16">
        <f>COUNTIFS(Working_Data!$Y:$Y, A16, Working_Data!$S:$S, "Delivered")</f>
        <v>0</v>
      </c>
      <c r="F16">
        <f>COUNTIFS(Working_Data!$Y:$Y, A16, Working_Data!$T:$T, "Yes")</f>
        <v>0</v>
      </c>
    </row>
    <row r="20" spans="1:4" ht="15.75" thickBot="1"/>
    <row r="21" spans="1:4" ht="45.75" thickBot="1">
      <c r="A21" s="7" t="s">
        <v>1548</v>
      </c>
      <c r="B21" s="7" t="s">
        <v>1536</v>
      </c>
      <c r="C21" s="7" t="s">
        <v>1549</v>
      </c>
      <c r="D21" s="7" t="s">
        <v>1515</v>
      </c>
    </row>
    <row r="22" spans="1:4" ht="30.75" thickBot="1">
      <c r="A22" s="7" t="s">
        <v>1550</v>
      </c>
      <c r="B22" s="8">
        <f>COUNTIF(Working_Data!AA:AA, "No Discount")</f>
        <v>206</v>
      </c>
      <c r="C22" s="8">
        <f>COUNTIFS(Working_Data!AA:AA, "No Discount", Working_Data!T:T, "Yes")</f>
        <v>103</v>
      </c>
      <c r="D22" s="8">
        <f>C22/B22</f>
        <v>0.5</v>
      </c>
    </row>
    <row r="23" spans="1:4" ht="30.75" thickBot="1">
      <c r="A23" s="7" t="s">
        <v>1551</v>
      </c>
      <c r="B23" s="8">
        <f>COUNTIF(Working_Data!AA:AA, "Low (1-20%)")</f>
        <v>100</v>
      </c>
      <c r="C23" s="8">
        <f>COUNTIFS(Working_Data!AA:AA, "Low (1-20%)", Working_Data!T:T, "Yes")</f>
        <v>48</v>
      </c>
      <c r="D23" s="8">
        <f>C23/B23</f>
        <v>0.48</v>
      </c>
    </row>
    <row r="24" spans="1:4" ht="30.75" thickBot="1">
      <c r="A24" s="7" t="s">
        <v>1552</v>
      </c>
      <c r="B24" s="8">
        <f>COUNTIF(Working_Data!AA:AA, "High (20%+)")</f>
        <v>40</v>
      </c>
      <c r="C24" s="8">
        <f>COUNTIFS(Working_Data!AA:AA, "High (20%+)", Working_Data!T:T, "Yes")</f>
        <v>29</v>
      </c>
      <c r="D24" s="8">
        <f>C24/B24</f>
        <v>0.72499999999999998</v>
      </c>
    </row>
    <row r="54" spans="5:6">
      <c r="E54" s="1"/>
      <c r="F54" s="1"/>
    </row>
    <row r="55" spans="5:6">
      <c r="E55" s="1"/>
      <c r="F55" s="1"/>
    </row>
    <row r="56" spans="5:6">
      <c r="E56" s="1"/>
      <c r="F56" s="1"/>
    </row>
    <row r="57" spans="5:6">
      <c r="E57" s="1"/>
      <c r="F57" s="1"/>
    </row>
    <row r="58" spans="5:6">
      <c r="E58" s="1"/>
      <c r="F58" s="1"/>
    </row>
    <row r="59" spans="5:6">
      <c r="E59" s="1"/>
      <c r="F59" s="1"/>
    </row>
    <row r="60" spans="5:6">
      <c r="E60" s="1"/>
      <c r="F60" s="1"/>
    </row>
    <row r="61" spans="5:6">
      <c r="E61" s="1"/>
      <c r="F61" s="1"/>
    </row>
    <row r="62" spans="5:6">
      <c r="E62" s="1"/>
      <c r="F62" s="1"/>
    </row>
    <row r="63" spans="5:6">
      <c r="E63" s="1"/>
      <c r="F63" s="1"/>
    </row>
    <row r="64" spans="5:6">
      <c r="E64" s="1"/>
      <c r="F64" s="1"/>
    </row>
    <row r="65" spans="5:6">
      <c r="E65" s="1"/>
      <c r="F65" s="1"/>
    </row>
    <row r="66" spans="5:6">
      <c r="E66" s="1"/>
      <c r="F66" s="1"/>
    </row>
    <row r="67" spans="5:6">
      <c r="E67" s="1"/>
      <c r="F67" s="1"/>
    </row>
    <row r="68" spans="5:6">
      <c r="E68" s="1"/>
      <c r="F68" s="1"/>
    </row>
    <row r="69" spans="5:6">
      <c r="E69" s="1"/>
      <c r="F69" s="1"/>
    </row>
    <row r="70" spans="5:6">
      <c r="E70" s="1"/>
      <c r="F70" s="1"/>
    </row>
    <row r="71" spans="5:6">
      <c r="E71" s="1"/>
      <c r="F71" s="1"/>
    </row>
    <row r="72" spans="5:6">
      <c r="E72" s="1"/>
      <c r="F72" s="1"/>
    </row>
    <row r="73" spans="5:6">
      <c r="E73" s="1"/>
      <c r="F73" s="1"/>
    </row>
    <row r="74" spans="5:6">
      <c r="E74" s="1"/>
      <c r="F74" s="1"/>
    </row>
    <row r="75" spans="5:6">
      <c r="E75" s="1"/>
      <c r="F75" s="1"/>
    </row>
    <row r="76" spans="5:6">
      <c r="E76" s="1"/>
      <c r="F76" s="1"/>
    </row>
    <row r="77" spans="5:6">
      <c r="E77" s="1"/>
      <c r="F77" s="1"/>
    </row>
    <row r="78" spans="5:6">
      <c r="E78" s="1"/>
      <c r="F78" s="1"/>
    </row>
    <row r="79" spans="5:6">
      <c r="E79" s="1"/>
      <c r="F79" s="1"/>
    </row>
    <row r="80" spans="5:6">
      <c r="E80" s="1"/>
      <c r="F80" s="1"/>
    </row>
    <row r="81" spans="5:6">
      <c r="E81" s="1"/>
      <c r="F81" s="1"/>
    </row>
    <row r="82" spans="5:6">
      <c r="E82" s="1"/>
      <c r="F82" s="1"/>
    </row>
    <row r="83" spans="5:6">
      <c r="E83" s="1"/>
      <c r="F83" s="1"/>
    </row>
    <row r="84" spans="5:6">
      <c r="E84" s="1"/>
      <c r="F84" s="1"/>
    </row>
    <row r="85" spans="5:6">
      <c r="E85" s="1"/>
      <c r="F85" s="1"/>
    </row>
    <row r="86" spans="5:6">
      <c r="E86" s="1"/>
      <c r="F86" s="1"/>
    </row>
    <row r="87" spans="5:6">
      <c r="E87" s="1"/>
      <c r="F87" s="1"/>
    </row>
    <row r="88" spans="5:6">
      <c r="E88" s="1"/>
      <c r="F88" s="1"/>
    </row>
    <row r="89" spans="5:6">
      <c r="E89" s="1"/>
      <c r="F89" s="1"/>
    </row>
    <row r="90" spans="5:6">
      <c r="E90" s="1"/>
      <c r="F90" s="1"/>
    </row>
    <row r="91" spans="5:6">
      <c r="E91" s="1"/>
      <c r="F91" s="1"/>
    </row>
    <row r="92" spans="5:6">
      <c r="E92" s="1"/>
      <c r="F92" s="1"/>
    </row>
    <row r="93" spans="5:6">
      <c r="E93" s="1"/>
      <c r="F93" s="1"/>
    </row>
    <row r="94" spans="5:6">
      <c r="E94" s="1"/>
      <c r="F94" s="1"/>
    </row>
    <row r="95" spans="5:6">
      <c r="E95" s="1"/>
      <c r="F95" s="1"/>
    </row>
    <row r="96" spans="5:6">
      <c r="E96" s="1"/>
      <c r="F96" s="1"/>
    </row>
    <row r="97" spans="5:6">
      <c r="E97" s="1"/>
      <c r="F97" s="1"/>
    </row>
    <row r="98" spans="5:6">
      <c r="E98" s="1"/>
      <c r="F98" s="1"/>
    </row>
    <row r="99" spans="5:6">
      <c r="E99" s="1"/>
      <c r="F99" s="1"/>
    </row>
    <row r="100" spans="5:6">
      <c r="E100" s="1"/>
      <c r="F100" s="1"/>
    </row>
    <row r="101" spans="5:6">
      <c r="E101" s="1"/>
      <c r="F101" s="1"/>
    </row>
    <row r="102" spans="5:6">
      <c r="E102" s="1"/>
      <c r="F102" s="1"/>
    </row>
    <row r="103" spans="5:6">
      <c r="E103" s="1"/>
      <c r="F103" s="1"/>
    </row>
    <row r="104" spans="5:6">
      <c r="E104" s="1"/>
      <c r="F104" s="1"/>
    </row>
    <row r="105" spans="5:6">
      <c r="E105" s="1"/>
      <c r="F105" s="1"/>
    </row>
    <row r="106" spans="5:6">
      <c r="E106" s="1"/>
      <c r="F106" s="1"/>
    </row>
    <row r="107" spans="5:6">
      <c r="E107" s="1"/>
      <c r="F107" s="1"/>
    </row>
    <row r="108" spans="5:6">
      <c r="E108" s="1"/>
      <c r="F108" s="1"/>
    </row>
    <row r="109" spans="5:6">
      <c r="E109" s="1"/>
      <c r="F109" s="1"/>
    </row>
    <row r="110" spans="5:6">
      <c r="E110" s="1"/>
      <c r="F110" s="1"/>
    </row>
    <row r="111" spans="5:6">
      <c r="E111" s="1"/>
      <c r="F111" s="1"/>
    </row>
    <row r="112" spans="5:6">
      <c r="E112" s="1"/>
      <c r="F112" s="1"/>
    </row>
    <row r="113" spans="5:6">
      <c r="E113" s="1"/>
      <c r="F113" s="1"/>
    </row>
    <row r="114" spans="5:6">
      <c r="E114" s="1"/>
      <c r="F114" s="1"/>
    </row>
    <row r="115" spans="5:6">
      <c r="E115" s="1"/>
      <c r="F115" s="1"/>
    </row>
    <row r="116" spans="5:6">
      <c r="E116" s="1"/>
      <c r="F116" s="1"/>
    </row>
    <row r="117" spans="5:6">
      <c r="E117" s="1"/>
      <c r="F117" s="1"/>
    </row>
    <row r="118" spans="5:6">
      <c r="E118" s="1"/>
      <c r="F118" s="1"/>
    </row>
    <row r="119" spans="5:6">
      <c r="E119" s="1"/>
      <c r="F119" s="1"/>
    </row>
    <row r="120" spans="5:6">
      <c r="E120" s="1"/>
      <c r="F120" s="1"/>
    </row>
    <row r="121" spans="5:6">
      <c r="E121" s="1"/>
      <c r="F121" s="1"/>
    </row>
    <row r="122" spans="5:6">
      <c r="E122" s="1"/>
      <c r="F122" s="1"/>
    </row>
    <row r="123" spans="5:6">
      <c r="E123" s="1"/>
      <c r="F123" s="1"/>
    </row>
    <row r="124" spans="5:6">
      <c r="E124" s="1"/>
      <c r="F124" s="1"/>
    </row>
    <row r="125" spans="5:6">
      <c r="E125" s="1"/>
      <c r="F125" s="1"/>
    </row>
    <row r="126" spans="5:6">
      <c r="E126" s="1"/>
      <c r="F126" s="1"/>
    </row>
    <row r="127" spans="5:6">
      <c r="E127" s="1"/>
      <c r="F127" s="1"/>
    </row>
    <row r="128" spans="5:6">
      <c r="E128" s="1"/>
      <c r="F128" s="1"/>
    </row>
    <row r="129" spans="5:6">
      <c r="E129" s="1"/>
      <c r="F129" s="1"/>
    </row>
    <row r="130" spans="5:6">
      <c r="E130" s="1"/>
      <c r="F130" s="1"/>
    </row>
    <row r="131" spans="5:6">
      <c r="E131" s="1"/>
      <c r="F131" s="1"/>
    </row>
    <row r="132" spans="5:6">
      <c r="E132" s="1"/>
      <c r="F132" s="1"/>
    </row>
    <row r="133" spans="5:6">
      <c r="E133" s="1"/>
      <c r="F133" s="1"/>
    </row>
    <row r="134" spans="5:6">
      <c r="E134" s="1"/>
      <c r="F134" s="1"/>
    </row>
    <row r="135" spans="5:6">
      <c r="E135" s="1"/>
      <c r="F135" s="1"/>
    </row>
    <row r="136" spans="5:6">
      <c r="E136" s="1"/>
      <c r="F136" s="1"/>
    </row>
    <row r="137" spans="5:6">
      <c r="E137" s="1"/>
      <c r="F137" s="1"/>
    </row>
    <row r="138" spans="5:6">
      <c r="E138" s="1"/>
      <c r="F138" s="1"/>
    </row>
    <row r="139" spans="5:6">
      <c r="E139" s="1"/>
      <c r="F139" s="1"/>
    </row>
    <row r="140" spans="5:6">
      <c r="E140" s="1"/>
      <c r="F140" s="1"/>
    </row>
    <row r="141" spans="5:6">
      <c r="E141" s="1"/>
      <c r="F141" s="1"/>
    </row>
    <row r="142" spans="5:6">
      <c r="E142" s="1"/>
      <c r="F142" s="1"/>
    </row>
    <row r="143" spans="5:6">
      <c r="E143" s="1"/>
      <c r="F143" s="1"/>
    </row>
    <row r="144" spans="5:6">
      <c r="E144" s="1"/>
      <c r="F144" s="1"/>
    </row>
    <row r="145" spans="5:6">
      <c r="E145" s="1"/>
      <c r="F145" s="1"/>
    </row>
    <row r="146" spans="5:6">
      <c r="E146" s="1"/>
      <c r="F146" s="1"/>
    </row>
    <row r="147" spans="5:6">
      <c r="E147" s="1"/>
      <c r="F147" s="1"/>
    </row>
    <row r="148" spans="5:6">
      <c r="E148" s="1"/>
      <c r="F148" s="1"/>
    </row>
    <row r="149" spans="5:6">
      <c r="E149" s="1"/>
      <c r="F149" s="1"/>
    </row>
    <row r="150" spans="5:6">
      <c r="E150" s="1"/>
      <c r="F150" s="1"/>
    </row>
    <row r="151" spans="5:6">
      <c r="E151" s="1"/>
      <c r="F151" s="1"/>
    </row>
    <row r="152" spans="5:6">
      <c r="E152" s="1"/>
      <c r="F152" s="1"/>
    </row>
    <row r="153" spans="5:6">
      <c r="E153" s="1"/>
      <c r="F153" s="1"/>
    </row>
    <row r="154" spans="5:6">
      <c r="E154" s="1"/>
      <c r="F154" s="1"/>
    </row>
    <row r="155" spans="5:6">
      <c r="E155" s="1"/>
      <c r="F155" s="1"/>
    </row>
    <row r="156" spans="5:6">
      <c r="E156" s="1"/>
      <c r="F156" s="1"/>
    </row>
    <row r="157" spans="5:6">
      <c r="E157" s="1"/>
      <c r="F157" s="1"/>
    </row>
    <row r="158" spans="5:6">
      <c r="E158" s="1"/>
      <c r="F158" s="1"/>
    </row>
    <row r="159" spans="5:6">
      <c r="E159" s="1"/>
      <c r="F159" s="1"/>
    </row>
    <row r="160" spans="5:6">
      <c r="E160" s="1"/>
      <c r="F160" s="1"/>
    </row>
    <row r="161" spans="5:6">
      <c r="E161" s="1"/>
      <c r="F161" s="1"/>
    </row>
    <row r="162" spans="5:6">
      <c r="E162" s="1"/>
      <c r="F162" s="1"/>
    </row>
    <row r="163" spans="5:6">
      <c r="E163" s="1"/>
      <c r="F163" s="1"/>
    </row>
    <row r="164" spans="5:6">
      <c r="E164" s="1"/>
      <c r="F164" s="1"/>
    </row>
    <row r="165" spans="5:6">
      <c r="E165" s="1"/>
      <c r="F165" s="1"/>
    </row>
    <row r="166" spans="5:6">
      <c r="E166" s="1"/>
      <c r="F166" s="1"/>
    </row>
    <row r="167" spans="5:6">
      <c r="E167" s="1"/>
      <c r="F167" s="1"/>
    </row>
    <row r="168" spans="5:6">
      <c r="E168" s="1"/>
      <c r="F168" s="1"/>
    </row>
    <row r="169" spans="5:6">
      <c r="E169" s="1"/>
      <c r="F169" s="1"/>
    </row>
    <row r="170" spans="5:6">
      <c r="E170" s="1"/>
      <c r="F170" s="1"/>
    </row>
    <row r="171" spans="5:6">
      <c r="E171" s="1"/>
      <c r="F171" s="1"/>
    </row>
    <row r="172" spans="5:6">
      <c r="E172" s="1"/>
      <c r="F172" s="1"/>
    </row>
    <row r="173" spans="5:6">
      <c r="E173" s="1"/>
      <c r="F173" s="1"/>
    </row>
    <row r="174" spans="5:6">
      <c r="E174" s="1"/>
      <c r="F174" s="1"/>
    </row>
    <row r="175" spans="5:6">
      <c r="E175" s="1"/>
      <c r="F175" s="1"/>
    </row>
    <row r="176" spans="5:6">
      <c r="E176" s="1"/>
      <c r="F176" s="1"/>
    </row>
    <row r="177" spans="5:6">
      <c r="E177" s="1"/>
      <c r="F177" s="1"/>
    </row>
    <row r="178" spans="5:6">
      <c r="E178" s="1"/>
      <c r="F178" s="1"/>
    </row>
    <row r="179" spans="5:6">
      <c r="E179" s="1"/>
      <c r="F179" s="1"/>
    </row>
    <row r="180" spans="5:6">
      <c r="E180" s="1"/>
      <c r="F180" s="1"/>
    </row>
    <row r="181" spans="5:6">
      <c r="E181" s="1"/>
      <c r="F181" s="1"/>
    </row>
    <row r="182" spans="5:6">
      <c r="E182" s="1"/>
      <c r="F182" s="1"/>
    </row>
    <row r="183" spans="5:6">
      <c r="E183" s="1"/>
      <c r="F183" s="1"/>
    </row>
    <row r="184" spans="5:6">
      <c r="E184" s="1"/>
      <c r="F184" s="1"/>
    </row>
    <row r="185" spans="5:6">
      <c r="E185" s="1"/>
      <c r="F185" s="1"/>
    </row>
    <row r="186" spans="5:6">
      <c r="E186" s="1"/>
      <c r="F186" s="1"/>
    </row>
    <row r="187" spans="5:6">
      <c r="E187" s="1"/>
      <c r="F187" s="1"/>
    </row>
    <row r="188" spans="5:6">
      <c r="E188" s="1"/>
      <c r="F188" s="1"/>
    </row>
    <row r="189" spans="5:6">
      <c r="E189" s="1"/>
      <c r="F189" s="1"/>
    </row>
    <row r="190" spans="5:6">
      <c r="E190" s="1"/>
      <c r="F190" s="1"/>
    </row>
    <row r="191" spans="5:6">
      <c r="E191" s="1"/>
      <c r="F191" s="1"/>
    </row>
    <row r="192" spans="5:6">
      <c r="E192" s="1"/>
      <c r="F192" s="1"/>
    </row>
    <row r="193" spans="5:6">
      <c r="E193" s="1"/>
      <c r="F193" s="1"/>
    </row>
    <row r="194" spans="5:6">
      <c r="E194" s="1"/>
      <c r="F194" s="1"/>
    </row>
    <row r="195" spans="5:6">
      <c r="E195" s="1"/>
      <c r="F195" s="1"/>
    </row>
    <row r="196" spans="5:6">
      <c r="E196" s="1"/>
      <c r="F196" s="1"/>
    </row>
    <row r="197" spans="5:6">
      <c r="E197" s="1"/>
      <c r="F197" s="1"/>
    </row>
    <row r="198" spans="5:6">
      <c r="E198" s="1"/>
      <c r="F198" s="1"/>
    </row>
    <row r="199" spans="5:6">
      <c r="E199" s="1"/>
      <c r="F199" s="1"/>
    </row>
    <row r="200" spans="5:6">
      <c r="E200" s="1"/>
      <c r="F200" s="1"/>
    </row>
    <row r="201" spans="5:6">
      <c r="E201" s="1"/>
      <c r="F201" s="1"/>
    </row>
    <row r="202" spans="5:6">
      <c r="E202" s="1"/>
      <c r="F202" s="1"/>
    </row>
    <row r="203" spans="5:6">
      <c r="E203" s="1"/>
      <c r="F203" s="1"/>
    </row>
    <row r="204" spans="5:6">
      <c r="E204" s="1"/>
      <c r="F204" s="1"/>
    </row>
    <row r="205" spans="5:6">
      <c r="E205" s="1"/>
      <c r="F205" s="1"/>
    </row>
    <row r="206" spans="5:6">
      <c r="E206" s="1"/>
      <c r="F206" s="1"/>
    </row>
    <row r="207" spans="5:6">
      <c r="E207" s="1"/>
      <c r="F207" s="1"/>
    </row>
    <row r="208" spans="5:6">
      <c r="E208" s="1"/>
      <c r="F208" s="1"/>
    </row>
    <row r="209" spans="5:6">
      <c r="E209" s="1"/>
      <c r="F209" s="1"/>
    </row>
    <row r="210" spans="5:6">
      <c r="E210" s="1"/>
      <c r="F210" s="1"/>
    </row>
    <row r="211" spans="5:6">
      <c r="E211" s="1"/>
      <c r="F211" s="1"/>
    </row>
    <row r="212" spans="5:6">
      <c r="E212" s="1"/>
      <c r="F212" s="1"/>
    </row>
    <row r="213" spans="5:6">
      <c r="E213" s="1"/>
      <c r="F213" s="1"/>
    </row>
    <row r="214" spans="5:6">
      <c r="E214" s="1"/>
      <c r="F214" s="1"/>
    </row>
    <row r="215" spans="5:6">
      <c r="E215" s="1"/>
      <c r="F215" s="1"/>
    </row>
    <row r="216" spans="5:6">
      <c r="E216" s="1"/>
      <c r="F216" s="1"/>
    </row>
    <row r="217" spans="5:6">
      <c r="E217" s="1"/>
      <c r="F217" s="1"/>
    </row>
    <row r="218" spans="5:6">
      <c r="E218" s="1"/>
      <c r="F218" s="1"/>
    </row>
    <row r="219" spans="5:6">
      <c r="E219" s="1"/>
      <c r="F219" s="1"/>
    </row>
    <row r="220" spans="5:6">
      <c r="E220" s="1"/>
      <c r="F220" s="1"/>
    </row>
    <row r="221" spans="5:6">
      <c r="E221" s="1"/>
      <c r="F221" s="1"/>
    </row>
    <row r="222" spans="5:6">
      <c r="E222" s="1"/>
      <c r="F222" s="1"/>
    </row>
    <row r="223" spans="5:6">
      <c r="E223" s="1"/>
      <c r="F223" s="1"/>
    </row>
    <row r="224" spans="5:6">
      <c r="E224" s="1"/>
      <c r="F224" s="1"/>
    </row>
    <row r="225" spans="5:6">
      <c r="E225" s="1"/>
      <c r="F225" s="1"/>
    </row>
    <row r="226" spans="5:6">
      <c r="E226" s="1"/>
      <c r="F226" s="1"/>
    </row>
    <row r="227" spans="5:6">
      <c r="E227" s="1"/>
      <c r="F227" s="1"/>
    </row>
    <row r="228" spans="5:6">
      <c r="E228" s="1"/>
      <c r="F228" s="1"/>
    </row>
    <row r="229" spans="5:6">
      <c r="E229" s="1"/>
      <c r="F229" s="1"/>
    </row>
    <row r="230" spans="5:6">
      <c r="E230" s="1"/>
      <c r="F230" s="1"/>
    </row>
    <row r="231" spans="5:6">
      <c r="E231" s="1"/>
      <c r="F231" s="1"/>
    </row>
    <row r="232" spans="5:6">
      <c r="E232" s="1"/>
      <c r="F232" s="1"/>
    </row>
    <row r="233" spans="5:6">
      <c r="E233" s="1"/>
      <c r="F233" s="1"/>
    </row>
    <row r="234" spans="5:6">
      <c r="E234" s="1"/>
      <c r="F234" s="1"/>
    </row>
    <row r="235" spans="5:6">
      <c r="E235" s="1"/>
      <c r="F235" s="1"/>
    </row>
    <row r="236" spans="5:6">
      <c r="E236" s="1"/>
      <c r="F236" s="1"/>
    </row>
    <row r="237" spans="5:6">
      <c r="E237" s="1"/>
      <c r="F237" s="1"/>
    </row>
    <row r="238" spans="5:6">
      <c r="E238" s="1"/>
      <c r="F238" s="1"/>
    </row>
    <row r="239" spans="5:6">
      <c r="E239" s="1"/>
      <c r="F239" s="1"/>
    </row>
    <row r="240" spans="5:6">
      <c r="E240" s="1"/>
      <c r="F240" s="1"/>
    </row>
    <row r="241" spans="5:6">
      <c r="E241" s="1"/>
      <c r="F241" s="1"/>
    </row>
    <row r="242" spans="5:6">
      <c r="E242" s="1"/>
      <c r="F242" s="1"/>
    </row>
    <row r="243" spans="5:6">
      <c r="E243" s="1"/>
      <c r="F243" s="1"/>
    </row>
    <row r="244" spans="5:6">
      <c r="E244" s="1"/>
      <c r="F244" s="1"/>
    </row>
    <row r="245" spans="5:6">
      <c r="E245" s="1"/>
      <c r="F245" s="1"/>
    </row>
    <row r="246" spans="5:6">
      <c r="E246" s="1"/>
      <c r="F246" s="1"/>
    </row>
    <row r="247" spans="5:6">
      <c r="E247" s="1"/>
      <c r="F247" s="1"/>
    </row>
    <row r="248" spans="5:6">
      <c r="E248" s="1"/>
      <c r="F248" s="1"/>
    </row>
    <row r="249" spans="5:6">
      <c r="E249" s="1"/>
      <c r="F249" s="1"/>
    </row>
    <row r="250" spans="5:6">
      <c r="E250" s="1"/>
      <c r="F250" s="1"/>
    </row>
    <row r="251" spans="5:6">
      <c r="E251" s="1"/>
      <c r="F251" s="1"/>
    </row>
    <row r="252" spans="5:6">
      <c r="E252" s="1"/>
      <c r="F252" s="1"/>
    </row>
    <row r="253" spans="5:6">
      <c r="E253" s="1"/>
      <c r="F253" s="1"/>
    </row>
    <row r="254" spans="5:6">
      <c r="E254" s="1"/>
      <c r="F254" s="1"/>
    </row>
    <row r="255" spans="5:6">
      <c r="E255" s="1"/>
      <c r="F255" s="1"/>
    </row>
    <row r="256" spans="5:6">
      <c r="E256" s="1"/>
      <c r="F256" s="1"/>
    </row>
    <row r="257" spans="5:6">
      <c r="E257" s="1"/>
      <c r="F257" s="1"/>
    </row>
    <row r="258" spans="5:6">
      <c r="E258" s="1"/>
      <c r="F258" s="1"/>
    </row>
    <row r="259" spans="5:6">
      <c r="E259" s="1"/>
      <c r="F259" s="1"/>
    </row>
    <row r="260" spans="5:6">
      <c r="E260" s="1"/>
      <c r="F260" s="1"/>
    </row>
    <row r="261" spans="5:6">
      <c r="E261" s="1"/>
      <c r="F261" s="1"/>
    </row>
    <row r="262" spans="5:6">
      <c r="E262" s="1"/>
      <c r="F262" s="1"/>
    </row>
    <row r="263" spans="5:6">
      <c r="E263" s="1"/>
      <c r="F263" s="1"/>
    </row>
    <row r="264" spans="5:6">
      <c r="E264" s="1"/>
      <c r="F264" s="1"/>
    </row>
    <row r="265" spans="5:6">
      <c r="E265" s="1"/>
      <c r="F265" s="1"/>
    </row>
    <row r="266" spans="5:6">
      <c r="E266" s="1"/>
      <c r="F266" s="1"/>
    </row>
    <row r="267" spans="5:6">
      <c r="E267" s="1"/>
      <c r="F267" s="1"/>
    </row>
    <row r="268" spans="5:6">
      <c r="E268" s="1"/>
      <c r="F268" s="1"/>
    </row>
    <row r="269" spans="5:6">
      <c r="E269" s="1"/>
      <c r="F269" s="1"/>
    </row>
    <row r="270" spans="5:6">
      <c r="E270" s="1"/>
      <c r="F270" s="1"/>
    </row>
    <row r="271" spans="5:6">
      <c r="E271" s="1"/>
      <c r="F271" s="1"/>
    </row>
    <row r="272" spans="5:6">
      <c r="E272" s="1"/>
      <c r="F272" s="1"/>
    </row>
    <row r="273" spans="5:6">
      <c r="E273" s="1"/>
      <c r="F273" s="1"/>
    </row>
    <row r="274" spans="5:6">
      <c r="E274" s="1"/>
      <c r="F274" s="1"/>
    </row>
    <row r="275" spans="5:6">
      <c r="E275" s="1"/>
      <c r="F275" s="1"/>
    </row>
    <row r="276" spans="5:6">
      <c r="E276" s="1"/>
      <c r="F276" s="1"/>
    </row>
    <row r="277" spans="5:6">
      <c r="E277" s="1"/>
      <c r="F277" s="1"/>
    </row>
    <row r="278" spans="5:6">
      <c r="E278" s="1"/>
      <c r="F278" s="1"/>
    </row>
    <row r="279" spans="5:6">
      <c r="E279" s="1"/>
      <c r="F279" s="1"/>
    </row>
    <row r="280" spans="5:6">
      <c r="E280" s="1"/>
      <c r="F280" s="1"/>
    </row>
    <row r="281" spans="5:6">
      <c r="E281" s="1"/>
      <c r="F281" s="1"/>
    </row>
    <row r="282" spans="5:6">
      <c r="E282" s="1"/>
      <c r="F282" s="1"/>
    </row>
    <row r="283" spans="5:6">
      <c r="E283" s="1"/>
      <c r="F283" s="1"/>
    </row>
    <row r="284" spans="5:6">
      <c r="E284" s="1"/>
      <c r="F284" s="1"/>
    </row>
    <row r="285" spans="5:6">
      <c r="E285" s="1"/>
      <c r="F285" s="1"/>
    </row>
    <row r="286" spans="5:6">
      <c r="E286" s="1"/>
      <c r="F286" s="1"/>
    </row>
    <row r="287" spans="5:6">
      <c r="E287" s="1"/>
      <c r="F287" s="1"/>
    </row>
    <row r="288" spans="5:6">
      <c r="E288" s="1"/>
      <c r="F288" s="1"/>
    </row>
    <row r="289" spans="5:6">
      <c r="E289" s="1"/>
      <c r="F289" s="1"/>
    </row>
    <row r="290" spans="5:6">
      <c r="E290" s="1"/>
      <c r="F290" s="1"/>
    </row>
    <row r="291" spans="5:6">
      <c r="E291" s="1"/>
      <c r="F291" s="1"/>
    </row>
    <row r="292" spans="5:6">
      <c r="E292" s="1"/>
      <c r="F292" s="1"/>
    </row>
    <row r="293" spans="5:6">
      <c r="E293" s="1"/>
      <c r="F293" s="1"/>
    </row>
    <row r="294" spans="5:6">
      <c r="E294" s="1"/>
      <c r="F294" s="1"/>
    </row>
    <row r="295" spans="5:6">
      <c r="E295" s="1"/>
      <c r="F295" s="1"/>
    </row>
    <row r="296" spans="5:6">
      <c r="E296" s="1"/>
      <c r="F296" s="1"/>
    </row>
    <row r="297" spans="5:6">
      <c r="E297" s="1"/>
      <c r="F297" s="1"/>
    </row>
    <row r="298" spans="5:6">
      <c r="E298" s="1"/>
      <c r="F298" s="1"/>
    </row>
    <row r="299" spans="5:6">
      <c r="E299" s="1"/>
      <c r="F299" s="1"/>
    </row>
    <row r="300" spans="5:6">
      <c r="E300" s="1"/>
      <c r="F300" s="1"/>
    </row>
    <row r="301" spans="5:6">
      <c r="E301" s="1"/>
      <c r="F301" s="1"/>
    </row>
    <row r="302" spans="5:6">
      <c r="E302" s="1"/>
      <c r="F302" s="1"/>
    </row>
    <row r="303" spans="5:6">
      <c r="E303" s="1"/>
      <c r="F303" s="1"/>
    </row>
    <row r="304" spans="5:6">
      <c r="E304" s="1"/>
      <c r="F304" s="1"/>
    </row>
    <row r="305" spans="5:6">
      <c r="E305" s="1"/>
      <c r="F305" s="1"/>
    </row>
    <row r="306" spans="5:6">
      <c r="E306" s="1"/>
      <c r="F306" s="1"/>
    </row>
    <row r="307" spans="5:6">
      <c r="E307" s="1"/>
      <c r="F307" s="1"/>
    </row>
    <row r="308" spans="5:6">
      <c r="E308" s="1"/>
      <c r="F308" s="1"/>
    </row>
    <row r="309" spans="5:6">
      <c r="E309" s="1"/>
      <c r="F309" s="1"/>
    </row>
    <row r="310" spans="5:6">
      <c r="E310" s="1"/>
      <c r="F310" s="1"/>
    </row>
    <row r="311" spans="5:6">
      <c r="E311" s="1"/>
      <c r="F311" s="1"/>
    </row>
    <row r="312" spans="5:6">
      <c r="E312" s="1"/>
      <c r="F312" s="1"/>
    </row>
    <row r="313" spans="5:6">
      <c r="E313" s="1"/>
      <c r="F313" s="1"/>
    </row>
    <row r="314" spans="5:6">
      <c r="E314" s="1"/>
      <c r="F314" s="1"/>
    </row>
    <row r="315" spans="5:6">
      <c r="E315" s="1"/>
      <c r="F315" s="1"/>
    </row>
    <row r="316" spans="5:6">
      <c r="E316" s="1"/>
      <c r="F316" s="1"/>
    </row>
    <row r="317" spans="5:6">
      <c r="E317" s="1"/>
      <c r="F317" s="1"/>
    </row>
    <row r="318" spans="5:6">
      <c r="E318" s="1"/>
      <c r="F318" s="1"/>
    </row>
    <row r="319" spans="5:6">
      <c r="E319" s="1"/>
      <c r="F319" s="1"/>
    </row>
    <row r="320" spans="5:6">
      <c r="E320" s="1"/>
      <c r="F320" s="1"/>
    </row>
    <row r="321" spans="5:6">
      <c r="E321" s="1"/>
      <c r="F321" s="1"/>
    </row>
    <row r="322" spans="5:6">
      <c r="E322" s="1"/>
      <c r="F322" s="1"/>
    </row>
    <row r="323" spans="5:6">
      <c r="E323" s="1"/>
      <c r="F323" s="1"/>
    </row>
    <row r="324" spans="5:6">
      <c r="E324" s="1"/>
      <c r="F324" s="1"/>
    </row>
    <row r="325" spans="5:6">
      <c r="E325" s="1"/>
      <c r="F325" s="1"/>
    </row>
    <row r="326" spans="5:6">
      <c r="E326" s="1"/>
      <c r="F326" s="1"/>
    </row>
    <row r="327" spans="5:6">
      <c r="E327" s="1"/>
      <c r="F327" s="1"/>
    </row>
    <row r="328" spans="5:6">
      <c r="E328" s="1"/>
      <c r="F328" s="1"/>
    </row>
    <row r="329" spans="5:6">
      <c r="E329" s="1"/>
      <c r="F329" s="1"/>
    </row>
    <row r="330" spans="5:6">
      <c r="E330" s="1"/>
      <c r="F330" s="1"/>
    </row>
    <row r="331" spans="5:6">
      <c r="E331" s="1"/>
      <c r="F331" s="1"/>
    </row>
    <row r="332" spans="5:6">
      <c r="E332" s="1"/>
      <c r="F332" s="1"/>
    </row>
    <row r="333" spans="5:6">
      <c r="E333" s="1"/>
      <c r="F333" s="1"/>
    </row>
    <row r="334" spans="5:6">
      <c r="E334" s="1"/>
      <c r="F334" s="1"/>
    </row>
    <row r="335" spans="5:6">
      <c r="E335" s="1"/>
      <c r="F335" s="1"/>
    </row>
    <row r="336" spans="5:6">
      <c r="E336" s="1"/>
      <c r="F336" s="1"/>
    </row>
    <row r="337" spans="5:6">
      <c r="E337" s="1"/>
      <c r="F337" s="1"/>
    </row>
    <row r="338" spans="5:6">
      <c r="E338" s="1"/>
      <c r="F338" s="1"/>
    </row>
    <row r="339" spans="5:6">
      <c r="E339" s="1"/>
      <c r="F339" s="1"/>
    </row>
    <row r="340" spans="5:6">
      <c r="E340" s="1"/>
      <c r="F340" s="1"/>
    </row>
    <row r="341" spans="5:6">
      <c r="E341" s="1"/>
      <c r="F341" s="1"/>
    </row>
    <row r="342" spans="5:6">
      <c r="E342" s="1"/>
      <c r="F342" s="1"/>
    </row>
    <row r="343" spans="5:6">
      <c r="E343" s="1"/>
      <c r="F343" s="1"/>
    </row>
    <row r="344" spans="5:6">
      <c r="E344" s="1"/>
      <c r="F344" s="1"/>
    </row>
    <row r="345" spans="5:6">
      <c r="E345" s="1"/>
      <c r="F345" s="1"/>
    </row>
    <row r="346" spans="5:6">
      <c r="E346" s="1"/>
      <c r="F346" s="1"/>
    </row>
    <row r="347" spans="5:6">
      <c r="E347" s="1"/>
      <c r="F347" s="1"/>
    </row>
  </sheetData>
  <conditionalFormatting sqref="D21:D2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D082-5D3B-40DC-9ED8-84773DF86E34}">
  <dimension ref="A1:O337"/>
  <sheetViews>
    <sheetView workbookViewId="0">
      <selection activeCell="N24" sqref="N24"/>
    </sheetView>
  </sheetViews>
  <sheetFormatPr defaultRowHeight="15" outlineLevelCol="1"/>
  <cols>
    <col min="4" max="5" width="15.28515625" customWidth="1"/>
    <col min="6" max="6" width="17" customWidth="1"/>
    <col min="7" max="7" width="18.140625" customWidth="1"/>
    <col min="14" max="14" width="13.85546875" customWidth="1"/>
    <col min="15" max="15" width="9.140625" outlineLevel="1"/>
  </cols>
  <sheetData>
    <row r="1" spans="1:15">
      <c r="A1" t="s">
        <v>0</v>
      </c>
      <c r="B1" t="s">
        <v>8</v>
      </c>
      <c r="C1" t="s">
        <v>9</v>
      </c>
      <c r="D1" t="s">
        <v>1507</v>
      </c>
      <c r="E1" t="s">
        <v>1504</v>
      </c>
      <c r="F1" t="s">
        <v>1505</v>
      </c>
      <c r="G1" t="s">
        <v>1506</v>
      </c>
      <c r="N1" t="s">
        <v>4</v>
      </c>
      <c r="O1" t="s">
        <v>1555</v>
      </c>
    </row>
    <row r="2" spans="1:15">
      <c r="A2">
        <f>COUNTA(Working_Data!A2:A347)</f>
        <v>346</v>
      </c>
      <c r="B2">
        <f>SUM(Working_Data!I:I)</f>
        <v>409</v>
      </c>
      <c r="C2">
        <f>SUM(Working_Data!J:J)</f>
        <v>1023789</v>
      </c>
      <c r="D2">
        <f>COUNTIF(Working_Data!T:T, "Yes") / COUNTIF(Working_Data!S:S, "Delivered")</f>
        <v>0.54878048780487809</v>
      </c>
      <c r="E2">
        <f>COUNTIF(Working_Data!U2:U347,"&lt;&gt;")</f>
        <v>180</v>
      </c>
      <c r="F2">
        <f>SUMPRODUCT(Working_Data!J2:J347*(1- VALUE(SUBSTITUTE(Working_Data!L2:L347,"%",""))/100))</f>
        <v>909607.34999999951</v>
      </c>
      <c r="G2">
        <f>F2/A2</f>
        <v>2628.9229768786113</v>
      </c>
      <c r="N2" t="s">
        <v>26</v>
      </c>
      <c r="O2">
        <f>SUMIF(Working_Data!E:E, N2, Working_Data!J:J)</f>
        <v>2598</v>
      </c>
    </row>
    <row r="3" spans="1:15">
      <c r="N3" t="s">
        <v>39</v>
      </c>
      <c r="O3">
        <f>SUMIF(Working_Data!E:E, N3, Working_Data!J:J)</f>
        <v>2499</v>
      </c>
    </row>
    <row r="4" spans="1:15">
      <c r="E4" t="s">
        <v>1508</v>
      </c>
      <c r="F4" t="s">
        <v>1509</v>
      </c>
      <c r="N4" t="s">
        <v>52</v>
      </c>
      <c r="O4">
        <f>SUMIF(Working_Data!E:E, N4, Working_Data!J:J)</f>
        <v>1899</v>
      </c>
    </row>
    <row r="5" spans="1:15">
      <c r="E5" t="s">
        <v>1510</v>
      </c>
      <c r="F5">
        <f>COUNTIFS(Working_Data!B:B,"&gt;="&amp;DATE(2024,10,1),Working_Data!B:B,"&lt;="&amp;DATE(2024,10,31))</f>
        <v>132</v>
      </c>
      <c r="N5" t="s">
        <v>60</v>
      </c>
      <c r="O5">
        <f>SUMIF(Working_Data!E:E, N5, Working_Data!J:J)</f>
        <v>3499</v>
      </c>
    </row>
    <row r="6" spans="1:15">
      <c r="E6" t="s">
        <v>1511</v>
      </c>
      <c r="F6">
        <f>COUNTIFS(Working_Data!B:B,"&gt;="&amp;DATE(2024,11,1),Working_Data!B:B,"&lt;="&amp;DATE(2024,11,30))</f>
        <v>93</v>
      </c>
      <c r="N6" t="s">
        <v>70</v>
      </c>
      <c r="O6">
        <f>SUMIF(Working_Data!E:E, N6, Working_Data!J:J)</f>
        <v>2397</v>
      </c>
    </row>
    <row r="7" spans="1:15">
      <c r="E7" t="s">
        <v>1512</v>
      </c>
      <c r="F7">
        <f>COUNTIFS(Working_Data!B:B,"&gt;="&amp;DATE(2024,12,1),Working_Data!B:B,"&lt;="&amp;DATE(2024,12,31))</f>
        <v>121</v>
      </c>
      <c r="N7" t="s">
        <v>75</v>
      </c>
      <c r="O7">
        <f>SUMIF(Working_Data!E:E, N7, Working_Data!J:J)</f>
        <v>3198</v>
      </c>
    </row>
    <row r="8" spans="1:15" ht="15.75" thickBot="1">
      <c r="N8" t="s">
        <v>82</v>
      </c>
      <c r="O8">
        <f>SUMIF(Working_Data!E:E, N8, Working_Data!J:J)</f>
        <v>2199</v>
      </c>
    </row>
    <row r="9" spans="1:15" ht="15.75" thickBot="1">
      <c r="E9" s="7"/>
      <c r="F9" s="7" t="s">
        <v>20</v>
      </c>
      <c r="G9" s="7" t="s">
        <v>1554</v>
      </c>
      <c r="N9" t="s">
        <v>88</v>
      </c>
      <c r="O9">
        <f>SUMIF(Working_Data!E:E, N9, Working_Data!J:J)</f>
        <v>2299</v>
      </c>
    </row>
    <row r="10" spans="1:15" ht="15.75" thickBot="1">
      <c r="E10" s="7">
        <v>1</v>
      </c>
      <c r="F10" s="9" t="s">
        <v>47</v>
      </c>
      <c r="G10" s="9">
        <f>COUNTIF(Working_Data!U2:U347, "Size Issue")</f>
        <v>67</v>
      </c>
      <c r="N10" t="s">
        <v>94</v>
      </c>
      <c r="O10">
        <f>SUMIF(Working_Data!E:E, N10, Working_Data!J:J)</f>
        <v>6995</v>
      </c>
    </row>
    <row r="11" spans="1:15" ht="15.75" thickBot="1">
      <c r="E11" s="7">
        <v>2</v>
      </c>
      <c r="F11" s="9" t="s">
        <v>68</v>
      </c>
      <c r="G11" s="9">
        <f>COUNTIF(Working_Data!U2:U347, "Quality Defect")</f>
        <v>32</v>
      </c>
      <c r="N11" t="s">
        <v>100</v>
      </c>
      <c r="O11">
        <f>SUMIF(Working_Data!E:E, N11, Working_Data!J:J)</f>
        <v>4999</v>
      </c>
    </row>
    <row r="12" spans="1:15" ht="15.75" thickBot="1">
      <c r="E12" s="7">
        <v>3</v>
      </c>
      <c r="F12" s="9" t="s">
        <v>79</v>
      </c>
      <c r="G12" s="9">
        <f>COUNTIF(Working_Data!U2:U347, "Changed Mind")</f>
        <v>29</v>
      </c>
      <c r="N12" t="s">
        <v>108</v>
      </c>
      <c r="O12">
        <f>SUMIF(Working_Data!E:E, N12, Working_Data!J:J)</f>
        <v>2598</v>
      </c>
    </row>
    <row r="13" spans="1:15" ht="15.75" thickBot="1">
      <c r="E13" s="7">
        <v>4</v>
      </c>
      <c r="F13" s="9" t="s">
        <v>104</v>
      </c>
      <c r="G13" s="9">
        <f>COUNTIF(Working_Data!U2:U347, "Wrong Item")</f>
        <v>28</v>
      </c>
      <c r="N13" t="s">
        <v>116</v>
      </c>
      <c r="O13">
        <f>SUMIF(Working_Data!E:E, N13, Working_Data!J:J)</f>
        <v>3299</v>
      </c>
    </row>
    <row r="14" spans="1:15" ht="25.5" customHeight="1" thickBot="1">
      <c r="E14" s="7">
        <v>5</v>
      </c>
      <c r="F14" s="9" t="s">
        <v>138</v>
      </c>
      <c r="G14" s="9">
        <f>COUNTIF(Working_Data!U2:U347, "Damaged in Transit")</f>
        <v>24</v>
      </c>
      <c r="N14" t="s">
        <v>123</v>
      </c>
      <c r="O14">
        <f>SUMIF(Working_Data!E:E, N14, Working_Data!J:J)</f>
        <v>2499</v>
      </c>
    </row>
    <row r="15" spans="1:15">
      <c r="N15" t="s">
        <v>127</v>
      </c>
      <c r="O15">
        <f>SUMIF(Working_Data!E:E, N15, Working_Data!J:J)</f>
        <v>3598</v>
      </c>
    </row>
    <row r="16" spans="1:15">
      <c r="N16" t="s">
        <v>131</v>
      </c>
      <c r="O16">
        <f>SUMIF(Working_Data!E:E, N16, Working_Data!J:J)</f>
        <v>2799</v>
      </c>
    </row>
    <row r="17" spans="5:15">
      <c r="N17" t="s">
        <v>135</v>
      </c>
      <c r="O17">
        <f>SUMIF(Working_Data!E:E, N17, Working_Data!J:J)</f>
        <v>2396</v>
      </c>
    </row>
    <row r="18" spans="5:15">
      <c r="E18" t="s">
        <v>1561</v>
      </c>
      <c r="F18" t="s">
        <v>1562</v>
      </c>
      <c r="N18" t="s">
        <v>141</v>
      </c>
      <c r="O18">
        <f>SUMIF(Working_Data!E:E, N18, Working_Data!J:J)</f>
        <v>999</v>
      </c>
    </row>
    <row r="19" spans="5:15" ht="15.75">
      <c r="E19" s="11" t="str">
        <f t="array" ref="E19">INDEX($N$2:$N$337, SMALL(IF($O$2:$O$337=F19, ROW($O$2:$O$337)-ROW($O$2)+1), COUNTIF($F$19:F19, F19)))</f>
        <v>OUT-CPE-M</v>
      </c>
      <c r="F19">
        <f>LARGE($O$2:$O$337, 1)</f>
        <v>10598</v>
      </c>
      <c r="N19" t="s">
        <v>148</v>
      </c>
      <c r="O19">
        <f>SUMIF(Working_Data!E:E, N19, Working_Data!J:J)</f>
        <v>2899</v>
      </c>
    </row>
    <row r="20" spans="5:15" ht="15.75">
      <c r="E20" s="11" t="str">
        <f t="array" ref="E20">INDEX($N$2:$N$337, SMALL(IF($O$2:$O$337=F20, ROW($O$2:$O$337)-ROW($O$2)+1), COUNTIF($F$19:F20, F20)))</f>
        <v>OUT-VLV-L</v>
      </c>
      <c r="F20">
        <f>LARGE($O$2:$O$337, 2)</f>
        <v>10498</v>
      </c>
      <c r="N20" t="s">
        <v>154</v>
      </c>
      <c r="O20">
        <f>SUMIF(Working_Data!E:E, N20, Working_Data!J:J)</f>
        <v>2998</v>
      </c>
    </row>
    <row r="21" spans="5:15" ht="15.75">
      <c r="E21" s="11" t="str">
        <f t="array" ref="E21">INDEX($N$2:$N$337, SMALL(IF($O$2:$O$337=F21, ROW($O$2:$O$337)-ROW($O$2)+1), COUNTIF($F$19:F21, F21)))</f>
        <v>DRS-EVE-S</v>
      </c>
      <c r="F21">
        <f>LARGE($O$2:$O$337, 3)</f>
        <v>10098</v>
      </c>
      <c r="N21" t="s">
        <v>159</v>
      </c>
      <c r="O21">
        <f>SUMIF(Working_Data!E:E, N21, Working_Data!J:J)</f>
        <v>3999</v>
      </c>
    </row>
    <row r="22" spans="5:15" ht="15.75">
      <c r="E22" s="11" t="str">
        <f t="array" ref="E22">INDEX($N$2:$N$337, SMALL(IF($O$2:$O$337=F22, ROW($O$2:$O$337)-ROW($O$2)+1), COUNTIF($F$19:F22, F22)))</f>
        <v>DRS-LHG-M</v>
      </c>
      <c r="F22">
        <f>LARGE($O$2:$O$337, 4)</f>
        <v>8999</v>
      </c>
      <c r="N22" t="s">
        <v>165</v>
      </c>
      <c r="O22">
        <f>SUMIF(Working_Data!E:E, N22, Working_Data!J:J)</f>
        <v>1699</v>
      </c>
    </row>
    <row r="23" spans="5:15" ht="15.75">
      <c r="E23" s="11" t="str">
        <f t="array" ref="E23">INDEX($N$2:$N$337, SMALL(IF($O$2:$O$337=F23, ROW($O$2:$O$337)-ROW($O$2)+1), COUNTIF($F$19:F23, F23)))</f>
        <v>OUT-FUR-L</v>
      </c>
      <c r="F23">
        <f>LARGE($O$2:$O$337, 5)</f>
        <v>8999</v>
      </c>
      <c r="N23" t="s">
        <v>170</v>
      </c>
      <c r="O23">
        <f>SUMIF(Working_Data!E:E, N23, Working_Data!J:J)</f>
        <v>2399</v>
      </c>
    </row>
    <row r="24" spans="5:15">
      <c r="N24" t="s">
        <v>175</v>
      </c>
      <c r="O24">
        <f>SUMIF(Working_Data!E:E, N24, Working_Data!J:J)</f>
        <v>899</v>
      </c>
    </row>
    <row r="25" spans="5:15">
      <c r="N25" t="s">
        <v>180</v>
      </c>
      <c r="O25">
        <f>SUMIF(Working_Data!E:E, N25, Working_Data!J:J)</f>
        <v>3597</v>
      </c>
    </row>
    <row r="26" spans="5:15">
      <c r="N26" t="s">
        <v>186</v>
      </c>
      <c r="O26">
        <f>SUMIF(Working_Data!E:E, N26, Working_Data!J:J)</f>
        <v>3598</v>
      </c>
    </row>
    <row r="27" spans="5:15">
      <c r="N27" t="s">
        <v>192</v>
      </c>
      <c r="O27">
        <f>SUMIF(Working_Data!E:E, N27, Working_Data!J:J)</f>
        <v>2699</v>
      </c>
    </row>
    <row r="28" spans="5:15">
      <c r="N28" t="s">
        <v>197</v>
      </c>
      <c r="O28">
        <f>SUMIF(Working_Data!E:E, N28, Working_Data!J:J)</f>
        <v>4599</v>
      </c>
    </row>
    <row r="29" spans="5:15">
      <c r="N29" t="s">
        <v>202</v>
      </c>
      <c r="O29">
        <f>SUMIF(Working_Data!E:E, N29, Working_Data!J:J)</f>
        <v>1099</v>
      </c>
    </row>
    <row r="30" spans="5:15">
      <c r="N30" t="s">
        <v>207</v>
      </c>
      <c r="O30">
        <f>SUMIF(Working_Data!E:E, N30, Working_Data!J:J)</f>
        <v>1899</v>
      </c>
    </row>
    <row r="31" spans="5:15">
      <c r="N31" t="s">
        <v>212</v>
      </c>
      <c r="O31">
        <f>SUMIF(Working_Data!E:E, N31, Working_Data!J:J)</f>
        <v>2199</v>
      </c>
    </row>
    <row r="32" spans="5:15">
      <c r="N32" t="s">
        <v>217</v>
      </c>
      <c r="O32">
        <f>SUMIF(Working_Data!E:E, N32, Working_Data!J:J)</f>
        <v>10098</v>
      </c>
    </row>
    <row r="33" spans="14:15">
      <c r="N33" t="s">
        <v>221</v>
      </c>
      <c r="O33">
        <f>SUMIF(Working_Data!E:E, N33, Working_Data!J:J)</f>
        <v>1798</v>
      </c>
    </row>
    <row r="34" spans="14:15">
      <c r="N34" t="s">
        <v>225</v>
      </c>
      <c r="O34">
        <f>SUMIF(Working_Data!E:E, N34, Working_Data!J:J)</f>
        <v>6999</v>
      </c>
    </row>
    <row r="35" spans="14:15">
      <c r="N35" t="s">
        <v>229</v>
      </c>
      <c r="O35">
        <f>SUMIF(Working_Data!E:E, N35, Working_Data!J:J)</f>
        <v>2999</v>
      </c>
    </row>
    <row r="36" spans="14:15">
      <c r="N36" t="s">
        <v>233</v>
      </c>
      <c r="O36">
        <f>SUMIF(Working_Data!E:E, N36, Working_Data!J:J)</f>
        <v>1599</v>
      </c>
    </row>
    <row r="37" spans="14:15">
      <c r="N37" t="s">
        <v>237</v>
      </c>
      <c r="O37">
        <f>SUMIF(Working_Data!E:E, N37, Working_Data!J:J)</f>
        <v>1999</v>
      </c>
    </row>
    <row r="38" spans="14:15">
      <c r="N38" t="s">
        <v>241</v>
      </c>
      <c r="O38">
        <f>SUMIF(Working_Data!E:E, N38, Working_Data!J:J)</f>
        <v>1799</v>
      </c>
    </row>
    <row r="39" spans="14:15">
      <c r="N39" t="s">
        <v>245</v>
      </c>
      <c r="O39">
        <f>SUMIF(Working_Data!E:E, N39, Working_Data!J:J)</f>
        <v>7999</v>
      </c>
    </row>
    <row r="40" spans="14:15">
      <c r="N40" t="s">
        <v>249</v>
      </c>
      <c r="O40">
        <f>SUMIF(Working_Data!E:E, N40, Working_Data!J:J)</f>
        <v>1499</v>
      </c>
    </row>
    <row r="41" spans="14:15">
      <c r="N41" t="s">
        <v>253</v>
      </c>
      <c r="O41">
        <f>SUMIF(Working_Data!E:E, N41, Working_Data!J:J)</f>
        <v>1699</v>
      </c>
    </row>
    <row r="42" spans="14:15">
      <c r="N42" t="s">
        <v>257</v>
      </c>
      <c r="O42">
        <f>SUMIF(Working_Data!E:E, N42, Working_Data!J:J)</f>
        <v>2299</v>
      </c>
    </row>
    <row r="43" spans="14:15">
      <c r="N43" t="s">
        <v>261</v>
      </c>
      <c r="O43">
        <f>SUMIF(Working_Data!E:E, N43, Working_Data!J:J)</f>
        <v>6596</v>
      </c>
    </row>
    <row r="44" spans="14:15">
      <c r="N44" t="s">
        <v>265</v>
      </c>
      <c r="O44">
        <f>SUMIF(Working_Data!E:E, N44, Working_Data!J:J)</f>
        <v>2499</v>
      </c>
    </row>
    <row r="45" spans="14:15">
      <c r="N45" t="s">
        <v>269</v>
      </c>
      <c r="O45">
        <f>SUMIF(Working_Data!E:E, N45, Working_Data!J:J)</f>
        <v>1899</v>
      </c>
    </row>
    <row r="46" spans="14:15">
      <c r="N46" t="s">
        <v>273</v>
      </c>
      <c r="O46">
        <f>SUMIF(Working_Data!E:E, N46, Working_Data!J:J)</f>
        <v>1999</v>
      </c>
    </row>
    <row r="47" spans="14:15">
      <c r="N47" t="s">
        <v>277</v>
      </c>
      <c r="O47">
        <f>SUMIF(Working_Data!E:E, N47, Working_Data!J:J)</f>
        <v>2599</v>
      </c>
    </row>
    <row r="48" spans="14:15">
      <c r="N48" t="s">
        <v>281</v>
      </c>
      <c r="O48">
        <f>SUMIF(Working_Data!E:E, N48, Working_Data!J:J)</f>
        <v>1299</v>
      </c>
    </row>
    <row r="49" spans="14:15">
      <c r="N49" t="s">
        <v>285</v>
      </c>
      <c r="O49">
        <f>SUMIF(Working_Data!E:E, N49, Working_Data!J:J)</f>
        <v>5999</v>
      </c>
    </row>
    <row r="50" spans="14:15">
      <c r="N50" t="s">
        <v>289</v>
      </c>
      <c r="O50">
        <f>SUMIF(Working_Data!E:E, N50, Working_Data!J:J)</f>
        <v>1598</v>
      </c>
    </row>
    <row r="51" spans="14:15">
      <c r="N51" t="s">
        <v>293</v>
      </c>
      <c r="O51">
        <f>SUMIF(Working_Data!E:E, N51, Working_Data!J:J)</f>
        <v>1998</v>
      </c>
    </row>
    <row r="52" spans="14:15">
      <c r="N52" t="s">
        <v>297</v>
      </c>
      <c r="O52">
        <f>SUMIF(Working_Data!E:E, N52, Working_Data!J:J)</f>
        <v>1899</v>
      </c>
    </row>
    <row r="53" spans="14:15">
      <c r="N53" t="s">
        <v>301</v>
      </c>
      <c r="O53">
        <f>SUMIF(Working_Data!E:E, N53, Working_Data!J:J)</f>
        <v>1699</v>
      </c>
    </row>
    <row r="54" spans="14:15">
      <c r="N54" t="s">
        <v>305</v>
      </c>
      <c r="O54">
        <f>SUMIF(Working_Data!E:E, N54, Working_Data!J:J)</f>
        <v>3799</v>
      </c>
    </row>
    <row r="55" spans="14:15">
      <c r="N55" t="s">
        <v>309</v>
      </c>
      <c r="O55">
        <f>SUMIF(Working_Data!E:E, N55, Working_Data!J:J)</f>
        <v>1299</v>
      </c>
    </row>
    <row r="56" spans="14:15">
      <c r="N56" t="s">
        <v>313</v>
      </c>
      <c r="O56">
        <f>SUMIF(Working_Data!E:E, N56, Working_Data!J:J)</f>
        <v>2099</v>
      </c>
    </row>
    <row r="57" spans="14:15">
      <c r="N57" t="s">
        <v>317</v>
      </c>
      <c r="O57">
        <f>SUMIF(Working_Data!E:E, N57, Working_Data!J:J)</f>
        <v>2799</v>
      </c>
    </row>
    <row r="58" spans="14:15">
      <c r="N58" t="s">
        <v>321</v>
      </c>
      <c r="O58">
        <f>SUMIF(Working_Data!E:E, N58, Working_Data!J:J)</f>
        <v>1499</v>
      </c>
    </row>
    <row r="59" spans="14:15">
      <c r="N59" t="s">
        <v>325</v>
      </c>
      <c r="O59">
        <f>SUMIF(Working_Data!E:E, N59, Working_Data!J:J)</f>
        <v>4499</v>
      </c>
    </row>
    <row r="60" spans="14:15">
      <c r="N60" t="s">
        <v>329</v>
      </c>
      <c r="O60">
        <f>SUMIF(Working_Data!E:E, N60, Working_Data!J:J)</f>
        <v>899</v>
      </c>
    </row>
    <row r="61" spans="14:15">
      <c r="N61" t="s">
        <v>333</v>
      </c>
      <c r="O61">
        <f>SUMIF(Working_Data!E:E, N61, Working_Data!J:J)</f>
        <v>1799</v>
      </c>
    </row>
    <row r="62" spans="14:15">
      <c r="N62" t="s">
        <v>337</v>
      </c>
      <c r="O62">
        <f>SUMIF(Working_Data!E:E, N62, Working_Data!J:J)</f>
        <v>2199</v>
      </c>
    </row>
    <row r="63" spans="14:15">
      <c r="N63" t="s">
        <v>341</v>
      </c>
      <c r="O63">
        <f>SUMIF(Working_Data!E:E, N63, Working_Data!J:J)</f>
        <v>1399</v>
      </c>
    </row>
    <row r="64" spans="14:15">
      <c r="N64" t="s">
        <v>345</v>
      </c>
      <c r="O64">
        <f>SUMIF(Working_Data!E:E, N64, Working_Data!J:J)</f>
        <v>2999</v>
      </c>
    </row>
    <row r="65" spans="14:15">
      <c r="N65" t="s">
        <v>349</v>
      </c>
      <c r="O65">
        <f>SUMIF(Working_Data!E:E, N65, Working_Data!J:J)</f>
        <v>1398</v>
      </c>
    </row>
    <row r="66" spans="14:15">
      <c r="N66" t="s">
        <v>353</v>
      </c>
      <c r="O66">
        <f>SUMIF(Working_Data!E:E, N66, Working_Data!J:J)</f>
        <v>2199</v>
      </c>
    </row>
    <row r="67" spans="14:15">
      <c r="N67" t="s">
        <v>357</v>
      </c>
      <c r="O67">
        <f>SUMIF(Working_Data!E:E, N67, Working_Data!J:J)</f>
        <v>2499</v>
      </c>
    </row>
    <row r="68" spans="14:15">
      <c r="N68" t="s">
        <v>361</v>
      </c>
      <c r="O68">
        <f>SUMIF(Working_Data!E:E, N68, Working_Data!J:J)</f>
        <v>1899</v>
      </c>
    </row>
    <row r="69" spans="14:15">
      <c r="N69" t="s">
        <v>365</v>
      </c>
      <c r="O69">
        <f>SUMIF(Working_Data!E:E, N69, Working_Data!J:J)</f>
        <v>1299</v>
      </c>
    </row>
    <row r="70" spans="14:15">
      <c r="N70" t="s">
        <v>369</v>
      </c>
      <c r="O70">
        <f>SUMIF(Working_Data!E:E, N70, Working_Data!J:J)</f>
        <v>4997</v>
      </c>
    </row>
    <row r="71" spans="14:15">
      <c r="N71" t="s">
        <v>373</v>
      </c>
      <c r="O71">
        <f>SUMIF(Working_Data!E:E, N71, Working_Data!J:J)</f>
        <v>2099</v>
      </c>
    </row>
    <row r="72" spans="14:15">
      <c r="N72" t="s">
        <v>377</v>
      </c>
      <c r="O72">
        <f>SUMIF(Working_Data!E:E, N72, Working_Data!J:J)</f>
        <v>2299</v>
      </c>
    </row>
    <row r="73" spans="14:15">
      <c r="N73" t="s">
        <v>381</v>
      </c>
      <c r="O73">
        <f>SUMIF(Working_Data!E:E, N73, Working_Data!J:J)</f>
        <v>2398</v>
      </c>
    </row>
    <row r="74" spans="14:15">
      <c r="N74" t="s">
        <v>385</v>
      </c>
      <c r="O74">
        <f>SUMIF(Working_Data!E:E, N74, Working_Data!J:J)</f>
        <v>2599</v>
      </c>
    </row>
    <row r="75" spans="14:15">
      <c r="N75" t="s">
        <v>389</v>
      </c>
      <c r="O75">
        <f>SUMIF(Working_Data!E:E, N75, Working_Data!J:J)</f>
        <v>1495</v>
      </c>
    </row>
    <row r="76" spans="14:15">
      <c r="N76" t="s">
        <v>393</v>
      </c>
      <c r="O76">
        <f>SUMIF(Working_Data!E:E, N76, Working_Data!J:J)</f>
        <v>1899</v>
      </c>
    </row>
    <row r="77" spans="14:15">
      <c r="N77" t="s">
        <v>397</v>
      </c>
      <c r="O77">
        <f>SUMIF(Working_Data!E:E, N77, Working_Data!J:J)</f>
        <v>2199</v>
      </c>
    </row>
    <row r="78" spans="14:15">
      <c r="N78" t="s">
        <v>401</v>
      </c>
      <c r="O78">
        <f>SUMIF(Working_Data!E:E, N78, Working_Data!J:J)</f>
        <v>1799</v>
      </c>
    </row>
    <row r="79" spans="14:15">
      <c r="N79" t="s">
        <v>405</v>
      </c>
      <c r="O79">
        <f>SUMIF(Working_Data!E:E, N79, Working_Data!J:J)</f>
        <v>10498</v>
      </c>
    </row>
    <row r="80" spans="14:15">
      <c r="N80" t="s">
        <v>409</v>
      </c>
      <c r="O80">
        <f>SUMIF(Working_Data!E:E, N80, Working_Data!J:J)</f>
        <v>999</v>
      </c>
    </row>
    <row r="81" spans="14:15">
      <c r="N81" t="s">
        <v>413</v>
      </c>
      <c r="O81">
        <f>SUMIF(Working_Data!E:E, N81, Working_Data!J:J)</f>
        <v>1499</v>
      </c>
    </row>
    <row r="82" spans="14:15">
      <c r="N82" t="s">
        <v>417</v>
      </c>
      <c r="O82">
        <f>SUMIF(Working_Data!E:E, N82, Working_Data!J:J)</f>
        <v>2899</v>
      </c>
    </row>
    <row r="83" spans="14:15">
      <c r="N83" t="s">
        <v>421</v>
      </c>
      <c r="O83">
        <f>SUMIF(Working_Data!E:E, N83, Working_Data!J:J)</f>
        <v>2198</v>
      </c>
    </row>
    <row r="84" spans="14:15">
      <c r="N84" t="s">
        <v>425</v>
      </c>
      <c r="O84">
        <f>SUMIF(Working_Data!E:E, N84, Working_Data!J:J)</f>
        <v>5499</v>
      </c>
    </row>
    <row r="85" spans="14:15">
      <c r="N85" t="s">
        <v>428</v>
      </c>
      <c r="O85">
        <f>SUMIF(Working_Data!E:E, N85, Working_Data!J:J)</f>
        <v>799</v>
      </c>
    </row>
    <row r="86" spans="14:15">
      <c r="N86" t="s">
        <v>432</v>
      </c>
      <c r="O86">
        <f>SUMIF(Working_Data!E:E, N86, Working_Data!J:J)</f>
        <v>1599</v>
      </c>
    </row>
    <row r="87" spans="14:15">
      <c r="N87" t="s">
        <v>436</v>
      </c>
      <c r="O87">
        <f>SUMIF(Working_Data!E:E, N87, Working_Data!J:J)</f>
        <v>2699</v>
      </c>
    </row>
    <row r="88" spans="14:15">
      <c r="N88" t="s">
        <v>440</v>
      </c>
      <c r="O88">
        <f>SUMIF(Working_Data!E:E, N88, Working_Data!J:J)</f>
        <v>1499</v>
      </c>
    </row>
    <row r="89" spans="14:15">
      <c r="N89" t="s">
        <v>444</v>
      </c>
      <c r="O89">
        <f>SUMIF(Working_Data!E:E, N89, Working_Data!J:J)</f>
        <v>6598</v>
      </c>
    </row>
    <row r="90" spans="14:15">
      <c r="N90" t="s">
        <v>448</v>
      </c>
      <c r="O90">
        <f>SUMIF(Working_Data!E:E, N90, Working_Data!J:J)</f>
        <v>998</v>
      </c>
    </row>
    <row r="91" spans="14:15">
      <c r="N91" t="s">
        <v>452</v>
      </c>
      <c r="O91">
        <f>SUMIF(Working_Data!E:E, N91, Working_Data!J:J)</f>
        <v>2399</v>
      </c>
    </row>
    <row r="92" spans="14:15">
      <c r="N92" t="s">
        <v>456</v>
      </c>
      <c r="O92">
        <f>SUMIF(Working_Data!E:E, N92, Working_Data!J:J)</f>
        <v>2599</v>
      </c>
    </row>
    <row r="93" spans="14:15">
      <c r="N93" t="s">
        <v>460</v>
      </c>
      <c r="O93">
        <f>SUMIF(Working_Data!E:E, N93, Working_Data!J:J)</f>
        <v>1399</v>
      </c>
    </row>
    <row r="94" spans="14:15">
      <c r="N94" t="s">
        <v>464</v>
      </c>
      <c r="O94">
        <f>SUMIF(Working_Data!E:E, N94, Working_Data!J:J)</f>
        <v>4299</v>
      </c>
    </row>
    <row r="95" spans="14:15">
      <c r="N95" t="s">
        <v>468</v>
      </c>
      <c r="O95">
        <f>SUMIF(Working_Data!E:E, N95, Working_Data!J:J)</f>
        <v>1197</v>
      </c>
    </row>
    <row r="96" spans="14:15">
      <c r="N96" t="s">
        <v>472</v>
      </c>
      <c r="O96">
        <f>SUMIF(Working_Data!E:E, N96, Working_Data!J:J)</f>
        <v>2199</v>
      </c>
    </row>
    <row r="97" spans="14:15">
      <c r="N97" t="s">
        <v>476</v>
      </c>
      <c r="O97">
        <f>SUMIF(Working_Data!E:E, N97, Working_Data!J:J)</f>
        <v>8398</v>
      </c>
    </row>
    <row r="98" spans="14:15">
      <c r="N98" t="s">
        <v>480</v>
      </c>
      <c r="O98">
        <f>SUMIF(Working_Data!E:E, N98, Working_Data!J:J)</f>
        <v>1299</v>
      </c>
    </row>
    <row r="99" spans="14:15">
      <c r="N99" t="s">
        <v>484</v>
      </c>
      <c r="O99">
        <f>SUMIF(Working_Data!E:E, N99, Working_Data!J:J)</f>
        <v>6798</v>
      </c>
    </row>
    <row r="100" spans="14:15">
      <c r="N100" t="s">
        <v>488</v>
      </c>
      <c r="O100">
        <f>SUMIF(Working_Data!E:E, N100, Working_Data!J:J)</f>
        <v>699</v>
      </c>
    </row>
    <row r="101" spans="14:15">
      <c r="N101" t="s">
        <v>492</v>
      </c>
      <c r="O101">
        <f>SUMIF(Working_Data!E:E, N101, Working_Data!J:J)</f>
        <v>1699</v>
      </c>
    </row>
    <row r="102" spans="14:15">
      <c r="N102" t="s">
        <v>496</v>
      </c>
      <c r="O102">
        <f>SUMIF(Working_Data!E:E, N102, Working_Data!J:J)</f>
        <v>2799</v>
      </c>
    </row>
    <row r="103" spans="14:15">
      <c r="N103" t="s">
        <v>499</v>
      </c>
      <c r="O103">
        <f>SUMIF(Working_Data!E:E, N103, Working_Data!J:J)</f>
        <v>3997</v>
      </c>
    </row>
    <row r="104" spans="14:15">
      <c r="N104" t="s">
        <v>503</v>
      </c>
      <c r="O104">
        <f>SUMIF(Working_Data!E:E, N104, Working_Data!J:J)</f>
        <v>10598</v>
      </c>
    </row>
    <row r="105" spans="14:15">
      <c r="N105" t="s">
        <v>507</v>
      </c>
      <c r="O105">
        <f>SUMIF(Working_Data!E:E, N105, Working_Data!J:J)</f>
        <v>1799</v>
      </c>
    </row>
    <row r="106" spans="14:15">
      <c r="N106" t="s">
        <v>511</v>
      </c>
      <c r="O106">
        <f>SUMIF(Working_Data!E:E, N106, Working_Data!J:J)</f>
        <v>1999</v>
      </c>
    </row>
    <row r="107" spans="14:15">
      <c r="N107" t="s">
        <v>515</v>
      </c>
      <c r="O107">
        <f>SUMIF(Working_Data!E:E, N107, Working_Data!J:J)</f>
        <v>2499</v>
      </c>
    </row>
    <row r="108" spans="14:15">
      <c r="N108" t="s">
        <v>519</v>
      </c>
      <c r="O108">
        <f>SUMIF(Working_Data!E:E, N108, Working_Data!J:J)</f>
        <v>1599</v>
      </c>
    </row>
    <row r="109" spans="14:15">
      <c r="N109" t="s">
        <v>523</v>
      </c>
      <c r="O109">
        <f>SUMIF(Working_Data!E:E, N109, Working_Data!J:J)</f>
        <v>3999</v>
      </c>
    </row>
    <row r="110" spans="14:15">
      <c r="N110" t="s">
        <v>527</v>
      </c>
      <c r="O110">
        <f>SUMIF(Working_Data!E:E, N110, Working_Data!J:J)</f>
        <v>1198</v>
      </c>
    </row>
    <row r="111" spans="14:15">
      <c r="N111" t="s">
        <v>531</v>
      </c>
      <c r="O111">
        <f>SUMIF(Working_Data!E:E, N111, Working_Data!J:J)</f>
        <v>1799</v>
      </c>
    </row>
    <row r="112" spans="14:15">
      <c r="N112" t="s">
        <v>535</v>
      </c>
      <c r="O112">
        <f>SUMIF(Working_Data!E:E, N112, Working_Data!J:J)</f>
        <v>3499</v>
      </c>
    </row>
    <row r="113" spans="14:15">
      <c r="N113" t="s">
        <v>540</v>
      </c>
      <c r="O113">
        <f>SUMIF(Working_Data!E:E, N113, Working_Data!J:J)</f>
        <v>5999</v>
      </c>
    </row>
    <row r="114" spans="14:15">
      <c r="N114" t="s">
        <v>544</v>
      </c>
      <c r="O114">
        <f>SUMIF(Working_Data!E:E, N114, Working_Data!J:J)</f>
        <v>4598</v>
      </c>
    </row>
    <row r="115" spans="14:15">
      <c r="N115" t="s">
        <v>551</v>
      </c>
      <c r="O115">
        <f>SUMIF(Working_Data!E:E, N115, Working_Data!J:J)</f>
        <v>1899</v>
      </c>
    </row>
    <row r="116" spans="14:15">
      <c r="N116" t="s">
        <v>554</v>
      </c>
      <c r="O116">
        <f>SUMIF(Working_Data!E:E, N116, Working_Data!J:J)</f>
        <v>4299</v>
      </c>
    </row>
    <row r="117" spans="14:15">
      <c r="N117" t="s">
        <v>558</v>
      </c>
      <c r="O117">
        <f>SUMIF(Working_Data!E:E, N117, Working_Data!J:J)</f>
        <v>2599</v>
      </c>
    </row>
    <row r="118" spans="14:15">
      <c r="N118" t="s">
        <v>566</v>
      </c>
      <c r="O118">
        <f>SUMIF(Working_Data!E:E, N118, Working_Data!J:J)</f>
        <v>8999</v>
      </c>
    </row>
    <row r="119" spans="14:15">
      <c r="N119" t="s">
        <v>570</v>
      </c>
      <c r="O119">
        <f>SUMIF(Working_Data!E:E, N119, Working_Data!J:J)</f>
        <v>2598</v>
      </c>
    </row>
    <row r="120" spans="14:15">
      <c r="N120" t="s">
        <v>574</v>
      </c>
      <c r="O120">
        <f>SUMIF(Working_Data!E:E, N120, Working_Data!J:J)</f>
        <v>1999</v>
      </c>
    </row>
    <row r="121" spans="14:15">
      <c r="N121" t="s">
        <v>578</v>
      </c>
      <c r="O121">
        <f>SUMIF(Working_Data!E:E, N121, Working_Data!J:J)</f>
        <v>5499</v>
      </c>
    </row>
    <row r="122" spans="14:15">
      <c r="N122" t="s">
        <v>582</v>
      </c>
      <c r="O122">
        <f>SUMIF(Working_Data!E:E, N122, Working_Data!J:J)</f>
        <v>6999</v>
      </c>
    </row>
    <row r="123" spans="14:15">
      <c r="N123" t="s">
        <v>586</v>
      </c>
      <c r="O123">
        <f>SUMIF(Working_Data!E:E, N123, Working_Data!J:J)</f>
        <v>4999</v>
      </c>
    </row>
    <row r="124" spans="14:15">
      <c r="N124" t="s">
        <v>590</v>
      </c>
      <c r="O124">
        <f>SUMIF(Working_Data!E:E, N124, Working_Data!J:J)</f>
        <v>899</v>
      </c>
    </row>
    <row r="125" spans="14:15">
      <c r="N125" t="s">
        <v>595</v>
      </c>
      <c r="O125">
        <f>SUMIF(Working_Data!E:E, N125, Working_Data!J:J)</f>
        <v>3299</v>
      </c>
    </row>
    <row r="126" spans="14:15">
      <c r="N126" t="s">
        <v>599</v>
      </c>
      <c r="O126">
        <f>SUMIF(Working_Data!E:E, N126, Working_Data!J:J)</f>
        <v>7499</v>
      </c>
    </row>
    <row r="127" spans="14:15">
      <c r="N127" t="s">
        <v>603</v>
      </c>
      <c r="O127">
        <f>SUMIF(Working_Data!E:E, N127, Working_Data!J:J)</f>
        <v>3299</v>
      </c>
    </row>
    <row r="128" spans="14:15">
      <c r="N128" t="s">
        <v>610</v>
      </c>
      <c r="O128">
        <f>SUMIF(Working_Data!E:E, N128, Working_Data!J:J)</f>
        <v>1199</v>
      </c>
    </row>
    <row r="129" spans="14:15">
      <c r="N129" t="s">
        <v>614</v>
      </c>
      <c r="O129">
        <f>SUMIF(Working_Data!E:E, N129, Working_Data!J:J)</f>
        <v>2799</v>
      </c>
    </row>
    <row r="130" spans="14:15">
      <c r="N130" t="s">
        <v>618</v>
      </c>
      <c r="O130">
        <f>SUMIF(Working_Data!E:E, N130, Working_Data!J:J)</f>
        <v>3899</v>
      </c>
    </row>
    <row r="131" spans="14:15">
      <c r="N131" t="s">
        <v>622</v>
      </c>
      <c r="O131">
        <f>SUMIF(Working_Data!E:E, N131, Working_Data!J:J)</f>
        <v>2999</v>
      </c>
    </row>
    <row r="132" spans="14:15">
      <c r="N132" t="s">
        <v>626</v>
      </c>
      <c r="O132">
        <f>SUMIF(Working_Data!E:E, N132, Working_Data!J:J)</f>
        <v>6499</v>
      </c>
    </row>
    <row r="133" spans="14:15">
      <c r="N133" t="s">
        <v>630</v>
      </c>
      <c r="O133">
        <f>SUMIF(Working_Data!E:E, N133, Working_Data!J:J)</f>
        <v>1998</v>
      </c>
    </row>
    <row r="134" spans="14:15">
      <c r="N134" t="s">
        <v>634</v>
      </c>
      <c r="O134">
        <f>SUMIF(Working_Data!E:E, N134, Working_Data!J:J)</f>
        <v>2499</v>
      </c>
    </row>
    <row r="135" spans="14:15">
      <c r="N135" t="s">
        <v>638</v>
      </c>
      <c r="O135">
        <f>SUMIF(Working_Data!E:E, N135, Working_Data!J:J)</f>
        <v>4599</v>
      </c>
    </row>
    <row r="136" spans="14:15">
      <c r="N136" t="s">
        <v>642</v>
      </c>
      <c r="O136">
        <f>SUMIF(Working_Data!E:E, N136, Working_Data!J:J)</f>
        <v>1799</v>
      </c>
    </row>
    <row r="137" spans="14:15">
      <c r="N137" t="s">
        <v>646</v>
      </c>
      <c r="O137">
        <f>SUMIF(Working_Data!E:E, N137, Working_Data!J:J)</f>
        <v>7999</v>
      </c>
    </row>
    <row r="138" spans="14:15">
      <c r="N138" t="s">
        <v>650</v>
      </c>
      <c r="O138">
        <f>SUMIF(Working_Data!E:E, N138, Working_Data!J:J)</f>
        <v>2499</v>
      </c>
    </row>
    <row r="139" spans="14:15">
      <c r="N139" t="s">
        <v>654</v>
      </c>
      <c r="O139">
        <f>SUMIF(Working_Data!E:E, N139, Working_Data!J:J)</f>
        <v>2299</v>
      </c>
    </row>
    <row r="140" spans="14:15">
      <c r="N140" t="s">
        <v>661</v>
      </c>
      <c r="O140">
        <f>SUMIF(Working_Data!E:E, N140, Working_Data!J:J)</f>
        <v>2599</v>
      </c>
    </row>
    <row r="141" spans="14:15">
      <c r="N141" t="s">
        <v>665</v>
      </c>
      <c r="O141">
        <f>SUMIF(Working_Data!E:E, N141, Working_Data!J:J)</f>
        <v>4299</v>
      </c>
    </row>
    <row r="142" spans="14:15">
      <c r="N142" t="s">
        <v>669</v>
      </c>
      <c r="O142">
        <f>SUMIF(Working_Data!E:E, N142, Working_Data!J:J)</f>
        <v>799</v>
      </c>
    </row>
    <row r="143" spans="14:15">
      <c r="N143" t="s">
        <v>673</v>
      </c>
      <c r="O143">
        <f>SUMIF(Working_Data!E:E, N143, Working_Data!J:J)</f>
        <v>1899</v>
      </c>
    </row>
    <row r="144" spans="14:15">
      <c r="N144" t="s">
        <v>677</v>
      </c>
      <c r="O144">
        <f>SUMIF(Working_Data!E:E, N144, Working_Data!J:J)</f>
        <v>4899</v>
      </c>
    </row>
    <row r="145" spans="14:15">
      <c r="N145" t="s">
        <v>681</v>
      </c>
      <c r="O145">
        <f>SUMIF(Working_Data!E:E, N145, Working_Data!J:J)</f>
        <v>1499</v>
      </c>
    </row>
    <row r="146" spans="14:15">
      <c r="N146" t="s">
        <v>685</v>
      </c>
      <c r="O146">
        <f>SUMIF(Working_Data!E:E, N146, Working_Data!J:J)</f>
        <v>5699</v>
      </c>
    </row>
    <row r="147" spans="14:15">
      <c r="N147" t="s">
        <v>689</v>
      </c>
      <c r="O147">
        <f>SUMIF(Working_Data!E:E, N147, Working_Data!J:J)</f>
        <v>2396</v>
      </c>
    </row>
    <row r="148" spans="14:15">
      <c r="N148" t="s">
        <v>693</v>
      </c>
      <c r="O148">
        <f>SUMIF(Working_Data!E:E, N148, Working_Data!J:J)</f>
        <v>2999</v>
      </c>
    </row>
    <row r="149" spans="14:15">
      <c r="N149" t="s">
        <v>697</v>
      </c>
      <c r="O149">
        <f>SUMIF(Working_Data!E:E, N149, Working_Data!J:J)</f>
        <v>2799</v>
      </c>
    </row>
    <row r="150" spans="14:15">
      <c r="N150" t="s">
        <v>701</v>
      </c>
      <c r="O150">
        <f>SUMIF(Working_Data!E:E, N150, Working_Data!J:J)</f>
        <v>1699</v>
      </c>
    </row>
    <row r="151" spans="14:15">
      <c r="N151" t="s">
        <v>705</v>
      </c>
      <c r="O151">
        <f>SUMIF(Working_Data!E:E, N151, Working_Data!J:J)</f>
        <v>4599</v>
      </c>
    </row>
    <row r="152" spans="14:15">
      <c r="N152" t="s">
        <v>709</v>
      </c>
      <c r="O152">
        <f>SUMIF(Working_Data!E:E, N152, Working_Data!J:J)</f>
        <v>899</v>
      </c>
    </row>
    <row r="153" spans="14:15">
      <c r="N153" t="s">
        <v>713</v>
      </c>
      <c r="O153">
        <f>SUMIF(Working_Data!E:E, N153, Working_Data!J:J)</f>
        <v>1799</v>
      </c>
    </row>
    <row r="154" spans="14:15">
      <c r="N154" t="s">
        <v>717</v>
      </c>
      <c r="O154">
        <f>SUMIF(Working_Data!E:E, N154, Working_Data!J:J)</f>
        <v>2599</v>
      </c>
    </row>
    <row r="155" spans="14:15">
      <c r="N155" t="s">
        <v>721</v>
      </c>
      <c r="O155">
        <f>SUMIF(Working_Data!E:E, N155, Working_Data!J:J)</f>
        <v>1599</v>
      </c>
    </row>
    <row r="156" spans="14:15">
      <c r="N156" t="s">
        <v>725</v>
      </c>
      <c r="O156">
        <f>SUMIF(Working_Data!E:E, N156, Working_Data!J:J)</f>
        <v>5299</v>
      </c>
    </row>
    <row r="157" spans="14:15">
      <c r="N157" t="s">
        <v>729</v>
      </c>
      <c r="O157">
        <f>SUMIF(Working_Data!E:E, N157, Working_Data!J:J)</f>
        <v>1497</v>
      </c>
    </row>
    <row r="158" spans="14:15">
      <c r="N158" t="s">
        <v>733</v>
      </c>
      <c r="O158">
        <f>SUMIF(Working_Data!E:E, N158, Working_Data!J:J)</f>
        <v>2099</v>
      </c>
    </row>
    <row r="159" spans="14:15">
      <c r="N159" t="s">
        <v>737</v>
      </c>
      <c r="O159">
        <f>SUMIF(Working_Data!E:E, N159, Working_Data!J:J)</f>
        <v>2399</v>
      </c>
    </row>
    <row r="160" spans="14:15">
      <c r="N160" t="s">
        <v>741</v>
      </c>
      <c r="O160">
        <f>SUMIF(Working_Data!E:E, N160, Working_Data!J:J)</f>
        <v>1799</v>
      </c>
    </row>
    <row r="161" spans="14:15">
      <c r="N161" t="s">
        <v>745</v>
      </c>
      <c r="O161">
        <f>SUMIF(Working_Data!E:E, N161, Working_Data!J:J)</f>
        <v>4199</v>
      </c>
    </row>
    <row r="162" spans="14:15">
      <c r="N162" t="s">
        <v>749</v>
      </c>
      <c r="O162">
        <f>SUMIF(Working_Data!E:E, N162, Working_Data!J:J)</f>
        <v>1398</v>
      </c>
    </row>
    <row r="163" spans="14:15">
      <c r="N163" t="s">
        <v>756</v>
      </c>
      <c r="O163">
        <f>SUMIF(Working_Data!E:E, N163, Working_Data!J:J)</f>
        <v>2899</v>
      </c>
    </row>
    <row r="164" spans="14:15">
      <c r="N164" t="s">
        <v>760</v>
      </c>
      <c r="O164">
        <f>SUMIF(Working_Data!E:E, N164, Working_Data!J:J)</f>
        <v>2199</v>
      </c>
    </row>
    <row r="165" spans="14:15">
      <c r="N165" t="s">
        <v>764</v>
      </c>
      <c r="O165">
        <f>SUMIF(Working_Data!E:E, N165, Working_Data!J:J)</f>
        <v>5599</v>
      </c>
    </row>
    <row r="166" spans="14:15">
      <c r="N166" t="s">
        <v>768</v>
      </c>
      <c r="O166">
        <f>SUMIF(Working_Data!E:E, N166, Working_Data!J:J)</f>
        <v>798</v>
      </c>
    </row>
    <row r="167" spans="14:15">
      <c r="N167" t="s">
        <v>772</v>
      </c>
      <c r="O167">
        <f>SUMIF(Working_Data!E:E, N167, Working_Data!J:J)</f>
        <v>1899</v>
      </c>
    </row>
    <row r="168" spans="14:15">
      <c r="N168" t="s">
        <v>776</v>
      </c>
      <c r="O168">
        <f>SUMIF(Working_Data!E:E, N168, Working_Data!J:J)</f>
        <v>2699</v>
      </c>
    </row>
    <row r="169" spans="14:15">
      <c r="N169" t="s">
        <v>780</v>
      </c>
      <c r="O169">
        <f>SUMIF(Working_Data!E:E, N169, Working_Data!J:J)</f>
        <v>2499</v>
      </c>
    </row>
    <row r="170" spans="14:15">
      <c r="N170" t="s">
        <v>784</v>
      </c>
      <c r="O170">
        <f>SUMIF(Working_Data!E:E, N170, Working_Data!J:J)</f>
        <v>6299</v>
      </c>
    </row>
    <row r="171" spans="14:15">
      <c r="N171" t="s">
        <v>788</v>
      </c>
      <c r="O171">
        <f>SUMIF(Working_Data!E:E, N171, Working_Data!J:J)</f>
        <v>1599</v>
      </c>
    </row>
    <row r="172" spans="14:15">
      <c r="N172" t="s">
        <v>792</v>
      </c>
      <c r="O172">
        <f>SUMIF(Working_Data!E:E, N172, Working_Data!J:J)</f>
        <v>1699</v>
      </c>
    </row>
    <row r="173" spans="14:15">
      <c r="N173" t="s">
        <v>796</v>
      </c>
      <c r="O173">
        <f>SUMIF(Working_Data!E:E, N173, Working_Data!J:J)</f>
        <v>3199</v>
      </c>
    </row>
    <row r="174" spans="14:15">
      <c r="N174" t="s">
        <v>800</v>
      </c>
      <c r="O174">
        <f>SUMIF(Working_Data!E:E, N174, Working_Data!J:J)</f>
        <v>2099</v>
      </c>
    </row>
    <row r="175" spans="14:15">
      <c r="N175" t="s">
        <v>804</v>
      </c>
      <c r="O175">
        <f>SUMIF(Working_Data!E:E, N175, Working_Data!J:J)</f>
        <v>6999</v>
      </c>
    </row>
    <row r="176" spans="14:15">
      <c r="N176" t="s">
        <v>808</v>
      </c>
      <c r="O176">
        <f>SUMIF(Working_Data!E:E, N176, Working_Data!J:J)</f>
        <v>899</v>
      </c>
    </row>
    <row r="177" spans="14:15">
      <c r="N177" t="s">
        <v>812</v>
      </c>
      <c r="O177">
        <f>SUMIF(Working_Data!E:E, N177, Working_Data!J:J)</f>
        <v>1499</v>
      </c>
    </row>
    <row r="178" spans="14:15">
      <c r="N178" t="s">
        <v>816</v>
      </c>
      <c r="O178">
        <f>SUMIF(Working_Data!E:E, N178, Working_Data!J:J)</f>
        <v>2999</v>
      </c>
    </row>
    <row r="179" spans="14:15">
      <c r="N179" t="s">
        <v>820</v>
      </c>
      <c r="O179">
        <f>SUMIF(Working_Data!E:E, N179, Working_Data!J:J)</f>
        <v>1899</v>
      </c>
    </row>
    <row r="180" spans="14:15">
      <c r="N180" t="s">
        <v>824</v>
      </c>
      <c r="O180">
        <f>SUMIF(Working_Data!E:E, N180, Working_Data!J:J)</f>
        <v>7499</v>
      </c>
    </row>
    <row r="181" spans="14:15">
      <c r="N181" t="s">
        <v>828</v>
      </c>
      <c r="O181">
        <f>SUMIF(Working_Data!E:E, N181, Working_Data!J:J)</f>
        <v>1299</v>
      </c>
    </row>
    <row r="182" spans="14:15">
      <c r="N182" t="s">
        <v>832</v>
      </c>
      <c r="O182">
        <f>SUMIF(Working_Data!E:E, N182, Working_Data!J:J)</f>
        <v>1599</v>
      </c>
    </row>
    <row r="183" spans="14:15">
      <c r="N183" t="s">
        <v>836</v>
      </c>
      <c r="O183">
        <f>SUMIF(Working_Data!E:E, N183, Working_Data!J:J)</f>
        <v>3799</v>
      </c>
    </row>
    <row r="184" spans="14:15">
      <c r="N184" t="s">
        <v>840</v>
      </c>
      <c r="O184">
        <f>SUMIF(Working_Data!E:E, N184, Working_Data!J:J)</f>
        <v>2299</v>
      </c>
    </row>
    <row r="185" spans="14:15">
      <c r="N185" t="s">
        <v>844</v>
      </c>
      <c r="O185">
        <f>SUMIF(Working_Data!E:E, N185, Working_Data!J:J)</f>
        <v>5999</v>
      </c>
    </row>
    <row r="186" spans="14:15">
      <c r="N186" t="s">
        <v>848</v>
      </c>
      <c r="O186">
        <f>SUMIF(Working_Data!E:E, N186, Working_Data!J:J)</f>
        <v>998</v>
      </c>
    </row>
    <row r="187" spans="14:15">
      <c r="N187" t="s">
        <v>852</v>
      </c>
      <c r="O187">
        <f>SUMIF(Working_Data!E:E, N187, Working_Data!J:J)</f>
        <v>1799</v>
      </c>
    </row>
    <row r="188" spans="14:15">
      <c r="N188" t="s">
        <v>856</v>
      </c>
      <c r="O188">
        <f>SUMIF(Working_Data!E:E, N188, Working_Data!J:J)</f>
        <v>2999</v>
      </c>
    </row>
    <row r="189" spans="14:15">
      <c r="N189" t="s">
        <v>860</v>
      </c>
      <c r="O189">
        <f>SUMIF(Working_Data!E:E, N189, Working_Data!J:J)</f>
        <v>2199</v>
      </c>
    </row>
    <row r="190" spans="14:15">
      <c r="N190" t="s">
        <v>864</v>
      </c>
      <c r="O190">
        <f>SUMIF(Working_Data!E:E, N190, Working_Data!J:J)</f>
        <v>4899</v>
      </c>
    </row>
    <row r="191" spans="14:15">
      <c r="N191" t="s">
        <v>868</v>
      </c>
      <c r="O191">
        <f>SUMIF(Working_Data!E:E, N191, Working_Data!J:J)</f>
        <v>799</v>
      </c>
    </row>
    <row r="192" spans="14:15">
      <c r="N192" t="s">
        <v>872</v>
      </c>
      <c r="O192">
        <f>SUMIF(Working_Data!E:E, N192, Working_Data!J:J)</f>
        <v>1999</v>
      </c>
    </row>
    <row r="193" spans="14:15">
      <c r="N193" t="s">
        <v>876</v>
      </c>
      <c r="O193">
        <f>SUMIF(Working_Data!E:E, N193, Working_Data!J:J)</f>
        <v>3499</v>
      </c>
    </row>
    <row r="194" spans="14:15">
      <c r="N194" t="s">
        <v>880</v>
      </c>
      <c r="O194">
        <f>SUMIF(Working_Data!E:E, N194, Working_Data!J:J)</f>
        <v>2599</v>
      </c>
    </row>
    <row r="195" spans="14:15">
      <c r="N195" t="s">
        <v>884</v>
      </c>
      <c r="O195">
        <f>SUMIF(Working_Data!E:E, N195, Working_Data!J:J)</f>
        <v>5499</v>
      </c>
    </row>
    <row r="196" spans="14:15">
      <c r="N196" t="s">
        <v>888</v>
      </c>
      <c r="O196">
        <f>SUMIF(Working_Data!E:E, N196, Working_Data!J:J)</f>
        <v>999</v>
      </c>
    </row>
    <row r="197" spans="14:15">
      <c r="N197" t="s">
        <v>892</v>
      </c>
      <c r="O197">
        <f>SUMIF(Working_Data!E:E, N197, Working_Data!J:J)</f>
        <v>1699</v>
      </c>
    </row>
    <row r="198" spans="14:15">
      <c r="N198" t="s">
        <v>896</v>
      </c>
      <c r="O198">
        <f>SUMIF(Working_Data!E:E, N198, Working_Data!J:J)</f>
        <v>2799</v>
      </c>
    </row>
    <row r="199" spans="14:15">
      <c r="N199" t="s">
        <v>900</v>
      </c>
      <c r="O199">
        <f>SUMIF(Working_Data!E:E, N199, Working_Data!J:J)</f>
        <v>2399</v>
      </c>
    </row>
    <row r="200" spans="14:15">
      <c r="N200" t="s">
        <v>904</v>
      </c>
      <c r="O200">
        <f>SUMIF(Working_Data!E:E, N200, Working_Data!J:J)</f>
        <v>6799</v>
      </c>
    </row>
    <row r="201" spans="14:15">
      <c r="N201" t="s">
        <v>908</v>
      </c>
      <c r="O201">
        <f>SUMIF(Working_Data!E:E, N201, Working_Data!J:J)</f>
        <v>1499</v>
      </c>
    </row>
    <row r="202" spans="14:15">
      <c r="N202" t="s">
        <v>912</v>
      </c>
      <c r="O202">
        <f>SUMIF(Working_Data!E:E, N202, Working_Data!J:J)</f>
        <v>2299</v>
      </c>
    </row>
    <row r="203" spans="14:15">
      <c r="N203" t="s">
        <v>916</v>
      </c>
      <c r="O203">
        <f>SUMIF(Working_Data!E:E, N203, Working_Data!J:J)</f>
        <v>4999</v>
      </c>
    </row>
    <row r="204" spans="14:15">
      <c r="N204" t="s">
        <v>920</v>
      </c>
      <c r="O204">
        <f>SUMIF(Working_Data!E:E, N204, Working_Data!J:J)</f>
        <v>2099</v>
      </c>
    </row>
    <row r="205" spans="14:15">
      <c r="N205" t="s">
        <v>924</v>
      </c>
      <c r="O205">
        <f>SUMIF(Working_Data!E:E, N205, Working_Data!J:J)</f>
        <v>5799</v>
      </c>
    </row>
    <row r="206" spans="14:15">
      <c r="N206" t="s">
        <v>928</v>
      </c>
      <c r="O206">
        <f>SUMIF(Working_Data!E:E, N206, Working_Data!J:J)</f>
        <v>1199</v>
      </c>
    </row>
    <row r="207" spans="14:15">
      <c r="N207" t="s">
        <v>932</v>
      </c>
      <c r="O207">
        <f>SUMIF(Working_Data!E:E, N207, Working_Data!J:J)</f>
        <v>1899</v>
      </c>
    </row>
    <row r="208" spans="14:15">
      <c r="N208" t="s">
        <v>936</v>
      </c>
      <c r="O208">
        <f>SUMIF(Working_Data!E:E, N208, Working_Data!J:J)</f>
        <v>3699</v>
      </c>
    </row>
    <row r="209" spans="14:15">
      <c r="N209" t="s">
        <v>940</v>
      </c>
      <c r="O209">
        <f>SUMIF(Working_Data!E:E, N209, Working_Data!J:J)</f>
        <v>2699</v>
      </c>
    </row>
    <row r="210" spans="14:15">
      <c r="N210" t="s">
        <v>944</v>
      </c>
      <c r="O210">
        <f>SUMIF(Working_Data!E:E, N210, Working_Data!J:J)</f>
        <v>4999</v>
      </c>
    </row>
    <row r="211" spans="14:15">
      <c r="N211" t="s">
        <v>948</v>
      </c>
      <c r="O211">
        <f>SUMIF(Working_Data!E:E, N211, Working_Data!J:J)</f>
        <v>1798</v>
      </c>
    </row>
    <row r="212" spans="14:15">
      <c r="N212" t="s">
        <v>952</v>
      </c>
      <c r="O212">
        <f>SUMIF(Working_Data!E:E, N212, Working_Data!J:J)</f>
        <v>1599</v>
      </c>
    </row>
    <row r="213" spans="14:15">
      <c r="N213" t="s">
        <v>956</v>
      </c>
      <c r="O213">
        <f>SUMIF(Working_Data!E:E, N213, Working_Data!J:J)</f>
        <v>2599</v>
      </c>
    </row>
    <row r="214" spans="14:15">
      <c r="N214" t="s">
        <v>960</v>
      </c>
      <c r="O214">
        <f>SUMIF(Working_Data!E:E, N214, Working_Data!J:J)</f>
        <v>2399</v>
      </c>
    </row>
    <row r="215" spans="14:15">
      <c r="N215" t="s">
        <v>964</v>
      </c>
      <c r="O215">
        <f>SUMIF(Working_Data!E:E, N215, Working_Data!J:J)</f>
        <v>6499</v>
      </c>
    </row>
    <row r="216" spans="14:15">
      <c r="N216" t="s">
        <v>968</v>
      </c>
      <c r="O216">
        <f>SUMIF(Working_Data!E:E, N216, Working_Data!J:J)</f>
        <v>998</v>
      </c>
    </row>
    <row r="217" spans="14:15">
      <c r="N217" t="s">
        <v>972</v>
      </c>
      <c r="O217">
        <f>SUMIF(Working_Data!E:E, N217, Working_Data!J:J)</f>
        <v>1999</v>
      </c>
    </row>
    <row r="218" spans="14:15">
      <c r="N218" t="s">
        <v>976</v>
      </c>
      <c r="O218">
        <f>SUMIF(Working_Data!E:E, N218, Working_Data!J:J)</f>
        <v>5499</v>
      </c>
    </row>
    <row r="219" spans="14:15">
      <c r="N219" t="s">
        <v>980</v>
      </c>
      <c r="O219">
        <f>SUMIF(Working_Data!E:E, N219, Working_Data!J:J)</f>
        <v>2799</v>
      </c>
    </row>
    <row r="220" spans="14:15">
      <c r="N220" t="s">
        <v>984</v>
      </c>
      <c r="O220">
        <f>SUMIF(Working_Data!E:E, N220, Working_Data!J:J)</f>
        <v>5299</v>
      </c>
    </row>
    <row r="221" spans="14:15">
      <c r="N221" t="s">
        <v>988</v>
      </c>
      <c r="O221">
        <f>SUMIF(Working_Data!E:E, N221, Working_Data!J:J)</f>
        <v>1099</v>
      </c>
    </row>
    <row r="222" spans="14:15">
      <c r="N222" t="s">
        <v>992</v>
      </c>
      <c r="O222">
        <f>SUMIF(Working_Data!E:E, N222, Working_Data!J:J)</f>
        <v>2499</v>
      </c>
    </row>
    <row r="223" spans="14:15">
      <c r="N223" t="s">
        <v>996</v>
      </c>
      <c r="O223">
        <f>SUMIF(Working_Data!E:E, N223, Working_Data!J:J)</f>
        <v>6499</v>
      </c>
    </row>
    <row r="224" spans="14:15">
      <c r="N224" t="s">
        <v>1000</v>
      </c>
      <c r="O224">
        <f>SUMIF(Working_Data!E:E, N224, Working_Data!J:J)</f>
        <v>1499</v>
      </c>
    </row>
    <row r="225" spans="9:15">
      <c r="N225" t="s">
        <v>1004</v>
      </c>
      <c r="O225">
        <f>SUMIF(Working_Data!E:E, N225, Working_Data!J:J)</f>
        <v>2899</v>
      </c>
    </row>
    <row r="226" spans="9:15">
      <c r="N226" t="s">
        <v>1008</v>
      </c>
      <c r="O226">
        <f>SUMIF(Working_Data!E:E, N226, Working_Data!J:J)</f>
        <v>3198</v>
      </c>
    </row>
    <row r="227" spans="9:15">
      <c r="N227" t="s">
        <v>1014</v>
      </c>
      <c r="O227">
        <f>SUMIF(Working_Data!E:E, N227, Working_Data!J:J)</f>
        <v>1799</v>
      </c>
    </row>
    <row r="228" spans="9:15">
      <c r="N228" t="s">
        <v>1024</v>
      </c>
      <c r="O228">
        <f>SUMIF(Working_Data!E:E, N228, Working_Data!J:J)</f>
        <v>1198</v>
      </c>
    </row>
    <row r="229" spans="9:15">
      <c r="N229" t="s">
        <v>1029</v>
      </c>
      <c r="O229">
        <f>SUMIF(Working_Data!E:E, N229, Working_Data!J:J)</f>
        <v>2199</v>
      </c>
    </row>
    <row r="230" spans="9:15">
      <c r="N230" t="s">
        <v>1034</v>
      </c>
      <c r="O230">
        <f>SUMIF(Working_Data!E:E, N230, Working_Data!J:J)</f>
        <v>2499</v>
      </c>
    </row>
    <row r="231" spans="9:15">
      <c r="N231" t="s">
        <v>1039</v>
      </c>
      <c r="O231">
        <f>SUMIF(Working_Data!E:E, N231, Working_Data!J:J)</f>
        <v>2999</v>
      </c>
    </row>
    <row r="232" spans="9:15" ht="15.75">
      <c r="I232" s="10"/>
      <c r="N232" t="s">
        <v>1045</v>
      </c>
      <c r="O232">
        <f>SUMIF(Working_Data!E:E, N232, Working_Data!J:J)</f>
        <v>7999</v>
      </c>
    </row>
    <row r="233" spans="9:15">
      <c r="N233" t="s">
        <v>1051</v>
      </c>
      <c r="O233">
        <f>SUMIF(Working_Data!E:E, N233, Working_Data!J:J)</f>
        <v>1999</v>
      </c>
    </row>
    <row r="234" spans="9:15">
      <c r="N234" t="s">
        <v>1056</v>
      </c>
      <c r="O234">
        <f>SUMIF(Working_Data!E:E, N234, Working_Data!J:J)</f>
        <v>998</v>
      </c>
    </row>
    <row r="235" spans="9:15">
      <c r="N235" t="s">
        <v>1061</v>
      </c>
      <c r="O235">
        <f>SUMIF(Working_Data!E:E, N235, Working_Data!J:J)</f>
        <v>4999</v>
      </c>
    </row>
    <row r="236" spans="9:15">
      <c r="N236" t="s">
        <v>1066</v>
      </c>
      <c r="O236">
        <f>SUMIF(Working_Data!E:E, N236, Working_Data!J:J)</f>
        <v>2299</v>
      </c>
    </row>
    <row r="237" spans="9:15">
      <c r="N237" t="s">
        <v>1070</v>
      </c>
      <c r="O237">
        <f>SUMIF(Working_Data!E:E, N237, Working_Data!J:J)</f>
        <v>2599</v>
      </c>
    </row>
    <row r="238" spans="9:15">
      <c r="N238" t="s">
        <v>1073</v>
      </c>
      <c r="O238">
        <f>SUMIF(Working_Data!E:E, N238, Working_Data!J:J)</f>
        <v>8999</v>
      </c>
    </row>
    <row r="239" spans="9:15">
      <c r="N239" t="s">
        <v>1080</v>
      </c>
      <c r="O239">
        <f>SUMIF(Working_Data!E:E, N239, Working_Data!J:J)</f>
        <v>2199</v>
      </c>
    </row>
    <row r="240" spans="9:15">
      <c r="N240" t="s">
        <v>1084</v>
      </c>
      <c r="O240">
        <f>SUMIF(Working_Data!E:E, N240, Working_Data!J:J)</f>
        <v>3799</v>
      </c>
    </row>
    <row r="241" spans="14:15">
      <c r="N241" t="s">
        <v>1088</v>
      </c>
      <c r="O241">
        <f>SUMIF(Working_Data!E:E, N241, Working_Data!J:J)</f>
        <v>2899</v>
      </c>
    </row>
    <row r="242" spans="14:15">
      <c r="N242" t="s">
        <v>1095</v>
      </c>
      <c r="O242">
        <f>SUMIF(Working_Data!E:E, N242, Working_Data!J:J)</f>
        <v>2499</v>
      </c>
    </row>
    <row r="243" spans="14:15">
      <c r="N243" t="s">
        <v>1099</v>
      </c>
      <c r="O243">
        <f>SUMIF(Working_Data!E:E, N243, Working_Data!J:J)</f>
        <v>1899</v>
      </c>
    </row>
    <row r="244" spans="14:15">
      <c r="N244" t="s">
        <v>1103</v>
      </c>
      <c r="O244">
        <f>SUMIF(Working_Data!E:E, N244, Working_Data!J:J)</f>
        <v>3299</v>
      </c>
    </row>
    <row r="245" spans="14:15">
      <c r="N245" t="s">
        <v>1106</v>
      </c>
      <c r="O245">
        <f>SUMIF(Working_Data!E:E, N245, Working_Data!J:J)</f>
        <v>2199</v>
      </c>
    </row>
    <row r="246" spans="14:15">
      <c r="N246" t="s">
        <v>1109</v>
      </c>
      <c r="O246">
        <f>SUMIF(Working_Data!E:E, N246, Working_Data!J:J)</f>
        <v>5499</v>
      </c>
    </row>
    <row r="247" spans="14:15">
      <c r="N247" t="s">
        <v>1113</v>
      </c>
      <c r="O247">
        <f>SUMIF(Working_Data!E:E, N247, Working_Data!J:J)</f>
        <v>999</v>
      </c>
    </row>
    <row r="248" spans="14:15">
      <c r="N248" t="s">
        <v>1119</v>
      </c>
      <c r="O248">
        <f>SUMIF(Working_Data!E:E, N248, Working_Data!J:J)</f>
        <v>2799</v>
      </c>
    </row>
    <row r="249" spans="14:15">
      <c r="N249" t="s">
        <v>1123</v>
      </c>
      <c r="O249">
        <f>SUMIF(Working_Data!E:E, N249, Working_Data!J:J)</f>
        <v>2299</v>
      </c>
    </row>
    <row r="250" spans="14:15">
      <c r="N250" t="s">
        <v>1126</v>
      </c>
      <c r="O250">
        <f>SUMIF(Working_Data!E:E, N250, Working_Data!J:J)</f>
        <v>5999</v>
      </c>
    </row>
    <row r="251" spans="14:15">
      <c r="N251" t="s">
        <v>1130</v>
      </c>
      <c r="O251">
        <f>SUMIF(Working_Data!E:E, N251, Working_Data!J:J)</f>
        <v>1798</v>
      </c>
    </row>
    <row r="252" spans="14:15">
      <c r="N252" t="s">
        <v>1134</v>
      </c>
      <c r="O252">
        <f>SUMIF(Working_Data!E:E, N252, Working_Data!J:J)</f>
        <v>2099</v>
      </c>
    </row>
    <row r="253" spans="14:15">
      <c r="N253" t="s">
        <v>1138</v>
      </c>
      <c r="O253">
        <f>SUMIF(Working_Data!E:E, N253, Working_Data!J:J)</f>
        <v>3999</v>
      </c>
    </row>
    <row r="254" spans="14:15">
      <c r="N254" t="s">
        <v>1142</v>
      </c>
      <c r="O254">
        <f>SUMIF(Working_Data!E:E, N254, Working_Data!J:J)</f>
        <v>2499</v>
      </c>
    </row>
    <row r="255" spans="14:15">
      <c r="N255" t="s">
        <v>1146</v>
      </c>
      <c r="O255">
        <f>SUMIF(Working_Data!E:E, N255, Working_Data!J:J)</f>
        <v>4899</v>
      </c>
    </row>
    <row r="256" spans="14:15">
      <c r="N256" t="s">
        <v>1150</v>
      </c>
      <c r="O256">
        <f>SUMIF(Working_Data!E:E, N256, Working_Data!J:J)</f>
        <v>1199</v>
      </c>
    </row>
    <row r="257" spans="14:15">
      <c r="N257" t="s">
        <v>1154</v>
      </c>
      <c r="O257">
        <f>SUMIF(Working_Data!E:E, N257, Working_Data!J:J)</f>
        <v>1899</v>
      </c>
    </row>
    <row r="258" spans="14:15">
      <c r="N258" t="s">
        <v>1158</v>
      </c>
      <c r="O258">
        <f>SUMIF(Working_Data!E:E, N258, Working_Data!J:J)</f>
        <v>3599</v>
      </c>
    </row>
    <row r="259" spans="14:15">
      <c r="N259" t="s">
        <v>1162</v>
      </c>
      <c r="O259">
        <f>SUMIF(Working_Data!E:E, N259, Working_Data!J:J)</f>
        <v>2699</v>
      </c>
    </row>
    <row r="260" spans="14:15">
      <c r="N260" t="s">
        <v>1166</v>
      </c>
      <c r="O260">
        <f>SUMIF(Working_Data!E:E, N260, Working_Data!J:J)</f>
        <v>5599</v>
      </c>
    </row>
    <row r="261" spans="14:15">
      <c r="N261" t="s">
        <v>1170</v>
      </c>
      <c r="O261">
        <f>SUMIF(Working_Data!E:E, N261, Working_Data!J:J)</f>
        <v>1197</v>
      </c>
    </row>
    <row r="262" spans="14:15">
      <c r="N262" t="s">
        <v>1174</v>
      </c>
      <c r="O262">
        <f>SUMIF(Working_Data!E:E, N262, Working_Data!J:J)</f>
        <v>2199</v>
      </c>
    </row>
    <row r="263" spans="14:15">
      <c r="N263" t="s">
        <v>1178</v>
      </c>
      <c r="O263">
        <f>SUMIF(Working_Data!E:E, N263, Working_Data!J:J)</f>
        <v>4299</v>
      </c>
    </row>
    <row r="264" spans="14:15">
      <c r="N264" t="s">
        <v>1182</v>
      </c>
      <c r="O264">
        <f>SUMIF(Working_Data!E:E, N264, Working_Data!J:J)</f>
        <v>2399</v>
      </c>
    </row>
    <row r="265" spans="14:15">
      <c r="N265" t="s">
        <v>1186</v>
      </c>
      <c r="O265">
        <f>SUMIF(Working_Data!E:E, N265, Working_Data!J:J)</f>
        <v>6299</v>
      </c>
    </row>
    <row r="266" spans="14:15">
      <c r="N266" t="s">
        <v>1190</v>
      </c>
      <c r="O266">
        <f>SUMIF(Working_Data!E:E, N266, Working_Data!J:J)</f>
        <v>1198</v>
      </c>
    </row>
    <row r="267" spans="14:15">
      <c r="N267" t="s">
        <v>1194</v>
      </c>
      <c r="O267">
        <f>SUMIF(Working_Data!E:E, N267, Working_Data!J:J)</f>
        <v>2399</v>
      </c>
    </row>
    <row r="268" spans="14:15">
      <c r="N268" t="s">
        <v>1198</v>
      </c>
      <c r="O268">
        <f>SUMIF(Working_Data!E:E, N268, Working_Data!J:J)</f>
        <v>5999</v>
      </c>
    </row>
    <row r="269" spans="14:15">
      <c r="N269" t="s">
        <v>1202</v>
      </c>
      <c r="O269">
        <f>SUMIF(Working_Data!E:E, N269, Working_Data!J:J)</f>
        <v>1899</v>
      </c>
    </row>
    <row r="270" spans="14:15">
      <c r="N270" t="s">
        <v>1206</v>
      </c>
      <c r="O270">
        <f>SUMIF(Working_Data!E:E, N270, Working_Data!J:J)</f>
        <v>4999</v>
      </c>
    </row>
    <row r="271" spans="14:15">
      <c r="N271" t="s">
        <v>1210</v>
      </c>
      <c r="O271">
        <f>SUMIF(Working_Data!E:E, N271, Working_Data!J:J)</f>
        <v>1699</v>
      </c>
    </row>
    <row r="272" spans="14:15">
      <c r="N272" t="s">
        <v>1214</v>
      </c>
      <c r="O272">
        <f>SUMIF(Working_Data!E:E, N272, Working_Data!J:J)</f>
        <v>2099</v>
      </c>
    </row>
    <row r="273" spans="14:15">
      <c r="N273" t="s">
        <v>1221</v>
      </c>
      <c r="O273">
        <f>SUMIF(Working_Data!E:E, N273, Working_Data!J:J)</f>
        <v>2299</v>
      </c>
    </row>
    <row r="274" spans="14:15">
      <c r="N274" t="s">
        <v>1225</v>
      </c>
      <c r="O274">
        <f>SUMIF(Working_Data!E:E, N274, Working_Data!J:J)</f>
        <v>5799</v>
      </c>
    </row>
    <row r="275" spans="14:15">
      <c r="N275" t="s">
        <v>1229</v>
      </c>
      <c r="O275">
        <f>SUMIF(Working_Data!E:E, N275, Working_Data!J:J)</f>
        <v>1598</v>
      </c>
    </row>
    <row r="276" spans="14:15">
      <c r="N276" t="s">
        <v>1233</v>
      </c>
      <c r="O276">
        <f>SUMIF(Working_Data!E:E, N276, Working_Data!J:J)</f>
        <v>1999</v>
      </c>
    </row>
    <row r="277" spans="14:15">
      <c r="N277" t="s">
        <v>1237</v>
      </c>
      <c r="O277">
        <f>SUMIF(Working_Data!E:E, N277, Working_Data!J:J)</f>
        <v>3899</v>
      </c>
    </row>
    <row r="278" spans="14:15">
      <c r="N278" t="s">
        <v>1241</v>
      </c>
      <c r="O278">
        <f>SUMIF(Working_Data!E:E, N278, Working_Data!J:J)</f>
        <v>2599</v>
      </c>
    </row>
    <row r="279" spans="14:15">
      <c r="N279" t="s">
        <v>1245</v>
      </c>
      <c r="O279">
        <f>SUMIF(Working_Data!E:E, N279, Working_Data!J:J)</f>
        <v>5299</v>
      </c>
    </row>
    <row r="280" spans="14:15">
      <c r="N280" t="s">
        <v>1249</v>
      </c>
      <c r="O280">
        <f>SUMIF(Working_Data!E:E, N280, Working_Data!J:J)</f>
        <v>1399</v>
      </c>
    </row>
    <row r="281" spans="14:15">
      <c r="N281" t="s">
        <v>1253</v>
      </c>
      <c r="O281">
        <f>SUMIF(Working_Data!E:E, N281, Working_Data!J:J)</f>
        <v>1799</v>
      </c>
    </row>
    <row r="282" spans="14:15">
      <c r="N282" t="s">
        <v>1257</v>
      </c>
      <c r="O282">
        <f>SUMIF(Working_Data!E:E, N282, Working_Data!J:J)</f>
        <v>4199</v>
      </c>
    </row>
    <row r="283" spans="14:15">
      <c r="N283" t="s">
        <v>1261</v>
      </c>
      <c r="O283">
        <f>SUMIF(Working_Data!E:E, N283, Working_Data!J:J)</f>
        <v>2799</v>
      </c>
    </row>
    <row r="284" spans="14:15">
      <c r="N284" t="s">
        <v>1265</v>
      </c>
      <c r="O284">
        <f>SUMIF(Working_Data!E:E, N284, Working_Data!J:J)</f>
        <v>5499</v>
      </c>
    </row>
    <row r="285" spans="14:15">
      <c r="N285" t="s">
        <v>1269</v>
      </c>
      <c r="O285">
        <f>SUMIF(Working_Data!E:E, N285, Working_Data!J:J)</f>
        <v>1398</v>
      </c>
    </row>
    <row r="286" spans="14:15">
      <c r="N286" t="s">
        <v>1273</v>
      </c>
      <c r="O286">
        <f>SUMIF(Working_Data!E:E, N286, Working_Data!J:J)</f>
        <v>2299</v>
      </c>
    </row>
    <row r="287" spans="14:15">
      <c r="N287" t="s">
        <v>1277</v>
      </c>
      <c r="O287">
        <f>SUMIF(Working_Data!E:E, N287, Working_Data!J:J)</f>
        <v>3599</v>
      </c>
    </row>
    <row r="288" spans="14:15">
      <c r="N288" t="s">
        <v>1281</v>
      </c>
      <c r="O288">
        <f>SUMIF(Working_Data!E:E, N288, Working_Data!J:J)</f>
        <v>2499</v>
      </c>
    </row>
    <row r="289" spans="14:15">
      <c r="N289" t="s">
        <v>1285</v>
      </c>
      <c r="O289">
        <f>SUMIF(Working_Data!E:E, N289, Working_Data!J:J)</f>
        <v>6799</v>
      </c>
    </row>
    <row r="290" spans="14:15">
      <c r="N290" t="s">
        <v>1289</v>
      </c>
      <c r="O290">
        <f>SUMIF(Working_Data!E:E, N290, Working_Data!J:J)</f>
        <v>1797</v>
      </c>
    </row>
    <row r="291" spans="14:15">
      <c r="N291" t="s">
        <v>1293</v>
      </c>
      <c r="O291">
        <f>SUMIF(Working_Data!E:E, N291, Working_Data!J:J)</f>
        <v>1899</v>
      </c>
    </row>
    <row r="292" spans="14:15">
      <c r="N292" t="s">
        <v>1297</v>
      </c>
      <c r="O292">
        <f>SUMIF(Working_Data!E:E, N292, Working_Data!J:J)</f>
        <v>4499</v>
      </c>
    </row>
    <row r="293" spans="14:15">
      <c r="N293" t="s">
        <v>1301</v>
      </c>
      <c r="O293">
        <f>SUMIF(Working_Data!E:E, N293, Working_Data!J:J)</f>
        <v>2199</v>
      </c>
    </row>
    <row r="294" spans="14:15">
      <c r="N294" t="s">
        <v>1305</v>
      </c>
      <c r="O294">
        <f>SUMIF(Working_Data!E:E, N294, Working_Data!J:J)</f>
        <v>5199</v>
      </c>
    </row>
    <row r="295" spans="14:15">
      <c r="N295" t="s">
        <v>1309</v>
      </c>
      <c r="O295">
        <f>SUMIF(Working_Data!E:E, N295, Working_Data!J:J)</f>
        <v>998</v>
      </c>
    </row>
    <row r="296" spans="14:15">
      <c r="N296" t="s">
        <v>1313</v>
      </c>
      <c r="O296">
        <f>SUMIF(Working_Data!E:E, N296, Working_Data!J:J)</f>
        <v>2099</v>
      </c>
    </row>
    <row r="297" spans="14:15">
      <c r="N297" t="s">
        <v>1317</v>
      </c>
      <c r="O297">
        <f>SUMIF(Working_Data!E:E, N297, Working_Data!J:J)</f>
        <v>3999</v>
      </c>
    </row>
    <row r="298" spans="14:15">
      <c r="N298" t="s">
        <v>1321</v>
      </c>
      <c r="O298">
        <f>SUMIF(Working_Data!E:E, N298, Working_Data!J:J)</f>
        <v>2399</v>
      </c>
    </row>
    <row r="299" spans="14:15">
      <c r="N299" t="s">
        <v>1325</v>
      </c>
      <c r="O299">
        <f>SUMIF(Working_Data!E:E, N299, Working_Data!J:J)</f>
        <v>7299</v>
      </c>
    </row>
    <row r="300" spans="14:15">
      <c r="N300" t="s">
        <v>1329</v>
      </c>
      <c r="O300">
        <f>SUMIF(Working_Data!E:E, N300, Working_Data!J:J)</f>
        <v>899</v>
      </c>
    </row>
    <row r="301" spans="14:15">
      <c r="N301" t="s">
        <v>1333</v>
      </c>
      <c r="O301">
        <f>SUMIF(Working_Data!E:E, N301, Working_Data!J:J)</f>
        <v>1999</v>
      </c>
    </row>
    <row r="302" spans="14:15">
      <c r="N302" t="s">
        <v>1337</v>
      </c>
      <c r="O302">
        <f>SUMIF(Working_Data!E:E, N302, Working_Data!J:J)</f>
        <v>4699</v>
      </c>
    </row>
    <row r="303" spans="14:15">
      <c r="N303" t="s">
        <v>1341</v>
      </c>
      <c r="O303">
        <f>SUMIF(Working_Data!E:E, N303, Working_Data!J:J)</f>
        <v>2299</v>
      </c>
    </row>
    <row r="304" spans="14:15">
      <c r="N304" t="s">
        <v>1345</v>
      </c>
      <c r="O304">
        <f>SUMIF(Working_Data!E:E, N304, Working_Data!J:J)</f>
        <v>5399</v>
      </c>
    </row>
    <row r="305" spans="14:15">
      <c r="N305" t="s">
        <v>1349</v>
      </c>
      <c r="O305">
        <f>SUMIF(Working_Data!E:E, N305, Working_Data!J:J)</f>
        <v>1199</v>
      </c>
    </row>
    <row r="306" spans="14:15">
      <c r="N306" t="s">
        <v>1353</v>
      </c>
      <c r="O306">
        <f>SUMIF(Working_Data!E:E, N306, Working_Data!J:J)</f>
        <v>2199</v>
      </c>
    </row>
    <row r="307" spans="14:15">
      <c r="N307" t="s">
        <v>1357</v>
      </c>
      <c r="O307">
        <f>SUMIF(Working_Data!E:E, N307, Working_Data!J:J)</f>
        <v>3799</v>
      </c>
    </row>
    <row r="308" spans="14:15">
      <c r="N308" t="s">
        <v>1361</v>
      </c>
      <c r="O308">
        <f>SUMIF(Working_Data!E:E, N308, Working_Data!J:J)</f>
        <v>2499</v>
      </c>
    </row>
    <row r="309" spans="14:15">
      <c r="N309" t="s">
        <v>1365</v>
      </c>
      <c r="O309">
        <f>SUMIF(Working_Data!E:E, N309, Working_Data!J:J)</f>
        <v>6499</v>
      </c>
    </row>
    <row r="310" spans="14:15">
      <c r="N310" t="s">
        <v>1369</v>
      </c>
      <c r="O310">
        <f>SUMIF(Working_Data!E:E, N310, Working_Data!J:J)</f>
        <v>1497</v>
      </c>
    </row>
    <row r="311" spans="14:15">
      <c r="N311" t="s">
        <v>1373</v>
      </c>
      <c r="O311">
        <f>SUMIF(Working_Data!E:E, N311, Working_Data!J:J)</f>
        <v>1799</v>
      </c>
    </row>
    <row r="312" spans="14:15">
      <c r="N312" t="s">
        <v>1377</v>
      </c>
      <c r="O312">
        <f>SUMIF(Working_Data!E:E, N312, Working_Data!J:J)</f>
        <v>4299</v>
      </c>
    </row>
    <row r="313" spans="14:15">
      <c r="N313" t="s">
        <v>1381</v>
      </c>
      <c r="O313">
        <f>SUMIF(Working_Data!E:E, N313, Working_Data!J:J)</f>
        <v>1899</v>
      </c>
    </row>
    <row r="314" spans="14:15">
      <c r="N314" t="s">
        <v>1385</v>
      </c>
      <c r="O314">
        <f>SUMIF(Working_Data!E:E, N314, Working_Data!J:J)</f>
        <v>4999</v>
      </c>
    </row>
    <row r="315" spans="14:15">
      <c r="N315" t="s">
        <v>1389</v>
      </c>
      <c r="O315">
        <f>SUMIF(Working_Data!E:E, N315, Working_Data!J:J)</f>
        <v>1399</v>
      </c>
    </row>
    <row r="316" spans="14:15">
      <c r="N316" t="s">
        <v>1393</v>
      </c>
      <c r="O316">
        <f>SUMIF(Working_Data!E:E, N316, Working_Data!J:J)</f>
        <v>2099</v>
      </c>
    </row>
    <row r="317" spans="14:15">
      <c r="N317" t="s">
        <v>1397</v>
      </c>
      <c r="O317">
        <f>SUMIF(Working_Data!E:E, N317, Working_Data!J:J)</f>
        <v>2999</v>
      </c>
    </row>
    <row r="318" spans="14:15">
      <c r="N318" t="s">
        <v>1401</v>
      </c>
      <c r="O318">
        <f>SUMIF(Working_Data!E:E, N318, Working_Data!J:J)</f>
        <v>2199</v>
      </c>
    </row>
    <row r="319" spans="14:15">
      <c r="N319" t="s">
        <v>1405</v>
      </c>
      <c r="O319">
        <f>SUMIF(Working_Data!E:E, N319, Working_Data!J:J)</f>
        <v>5999</v>
      </c>
    </row>
    <row r="320" spans="14:15">
      <c r="N320" t="s">
        <v>1409</v>
      </c>
      <c r="O320">
        <f>SUMIF(Working_Data!E:E, N320, Working_Data!J:J)</f>
        <v>1299</v>
      </c>
    </row>
    <row r="321" spans="14:15">
      <c r="N321" t="s">
        <v>1413</v>
      </c>
      <c r="O321">
        <f>SUMIF(Working_Data!E:E, N321, Working_Data!J:J)</f>
        <v>1998</v>
      </c>
    </row>
    <row r="322" spans="14:15">
      <c r="N322" t="s">
        <v>1417</v>
      </c>
      <c r="O322">
        <f>SUMIF(Working_Data!E:E, N322, Working_Data!J:J)</f>
        <v>3499</v>
      </c>
    </row>
    <row r="323" spans="14:15">
      <c r="N323" t="s">
        <v>1421</v>
      </c>
      <c r="O323">
        <f>SUMIF(Working_Data!E:E, N323, Working_Data!J:J)</f>
        <v>1799</v>
      </c>
    </row>
    <row r="324" spans="14:15">
      <c r="N324" t="s">
        <v>1425</v>
      </c>
      <c r="O324">
        <f>SUMIF(Working_Data!E:E, N324, Working_Data!J:J)</f>
        <v>4599</v>
      </c>
    </row>
    <row r="325" spans="14:15">
      <c r="N325" t="s">
        <v>1429</v>
      </c>
      <c r="O325">
        <f>SUMIF(Working_Data!E:E, N325, Working_Data!J:J)</f>
        <v>799</v>
      </c>
    </row>
    <row r="326" spans="14:15">
      <c r="N326" t="s">
        <v>1433</v>
      </c>
      <c r="O326">
        <f>SUMIF(Working_Data!E:E, N326, Working_Data!J:J)</f>
        <v>1899</v>
      </c>
    </row>
    <row r="327" spans="14:15">
      <c r="N327" t="s">
        <v>1437</v>
      </c>
      <c r="O327">
        <f>SUMIF(Working_Data!E:E, N327, Working_Data!J:J)</f>
        <v>4099</v>
      </c>
    </row>
    <row r="328" spans="14:15">
      <c r="N328" t="s">
        <v>1441</v>
      </c>
      <c r="O328">
        <f>SUMIF(Working_Data!E:E, N328, Working_Data!J:J)</f>
        <v>2299</v>
      </c>
    </row>
    <row r="329" spans="14:15">
      <c r="N329" t="s">
        <v>1445</v>
      </c>
      <c r="O329">
        <f>SUMIF(Working_Data!E:E, N329, Working_Data!J:J)</f>
        <v>5799</v>
      </c>
    </row>
    <row r="330" spans="14:15">
      <c r="N330" t="s">
        <v>1449</v>
      </c>
      <c r="O330">
        <f>SUMIF(Working_Data!E:E, N330, Working_Data!J:J)</f>
        <v>1398</v>
      </c>
    </row>
    <row r="331" spans="14:15">
      <c r="N331" t="s">
        <v>1453</v>
      </c>
      <c r="O331">
        <f>SUMIF(Working_Data!E:E, N331, Working_Data!J:J)</f>
        <v>1999</v>
      </c>
    </row>
    <row r="332" spans="14:15">
      <c r="N332" t="s">
        <v>1456</v>
      </c>
      <c r="O332">
        <f>SUMIF(Working_Data!E:E, N332, Working_Data!J:J)</f>
        <v>3899</v>
      </c>
    </row>
    <row r="333" spans="14:15">
      <c r="N333" t="s">
        <v>1460</v>
      </c>
      <c r="O333">
        <f>SUMIF(Working_Data!E:E, N333, Working_Data!J:J)</f>
        <v>2099</v>
      </c>
    </row>
    <row r="334" spans="14:15">
      <c r="N334" t="s">
        <v>1464</v>
      </c>
      <c r="O334">
        <f>SUMIF(Working_Data!E:E, N334, Working_Data!J:J)</f>
        <v>4899</v>
      </c>
    </row>
    <row r="335" spans="14:15">
      <c r="N335" t="s">
        <v>1468</v>
      </c>
      <c r="O335">
        <f>SUMIF(Working_Data!E:E, N335, Working_Data!J:J)</f>
        <v>1797</v>
      </c>
    </row>
    <row r="336" spans="14:15">
      <c r="N336" t="s">
        <v>1472</v>
      </c>
      <c r="O336">
        <f>SUMIF(Working_Data!E:E, N336, Working_Data!J:J)</f>
        <v>2199</v>
      </c>
    </row>
    <row r="337" spans="14:15">
      <c r="N337" t="s">
        <v>1476</v>
      </c>
      <c r="O337">
        <f>SUMIF(Working_Data!E:E, N337, Working_Data!J:J)</f>
        <v>4499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CE65-A91F-450A-8627-A509E5DD1366}">
  <dimension ref="A1:D6"/>
  <sheetViews>
    <sheetView zoomScale="80" zoomScaleNormal="80" workbookViewId="0">
      <selection activeCell="D8" sqref="D8"/>
    </sheetView>
  </sheetViews>
  <sheetFormatPr defaultColWidth="18.85546875" defaultRowHeight="30.75" customHeight="1"/>
  <sheetData>
    <row r="1" spans="1:4" ht="30.75" customHeight="1">
      <c r="A1" s="3" t="s">
        <v>1486</v>
      </c>
      <c r="B1" s="3" t="s">
        <v>1487</v>
      </c>
      <c r="C1" s="3" t="s">
        <v>1488</v>
      </c>
      <c r="D1" s="3" t="s">
        <v>1489</v>
      </c>
    </row>
    <row r="2" spans="1:4" ht="30.75" customHeight="1">
      <c r="A2" s="4" t="s">
        <v>1490</v>
      </c>
      <c r="B2" s="4" t="s">
        <v>1496</v>
      </c>
      <c r="C2" s="4">
        <f>COUNTBLANK(Working_Data!A2:A347)</f>
        <v>0</v>
      </c>
      <c r="D2" t="str">
        <f>IF(C2=0, "Pass", "Fail")</f>
        <v>Pass</v>
      </c>
    </row>
    <row r="3" spans="1:4" ht="30.75" customHeight="1">
      <c r="A3" s="4" t="s">
        <v>1492</v>
      </c>
      <c r="B3" s="4" t="s">
        <v>1497</v>
      </c>
      <c r="C3" s="4">
        <f>COUNTIF(Working_Data!A:A, Working_Data!A2)-1</f>
        <v>0</v>
      </c>
      <c r="D3" s="4" t="str">
        <f>IF(C3=0, "Pass", "Fail")</f>
        <v>Pass</v>
      </c>
    </row>
    <row r="4" spans="1:4" ht="30.75" customHeight="1">
      <c r="A4" s="4" t="s">
        <v>1493</v>
      </c>
      <c r="B4" s="4" t="s">
        <v>1498</v>
      </c>
      <c r="C4" s="4">
        <f>COUNTIFS(
Working_Data!P:P,"Delivered",
Working_Data!O:O,""
)</f>
        <v>0</v>
      </c>
      <c r="D4" s="4" t="str">
        <f>IF(C4=0, "Pass", "Fail")</f>
        <v>Pass</v>
      </c>
    </row>
    <row r="5" spans="1:4" ht="30.75" customHeight="1">
      <c r="A5" s="4" t="s">
        <v>1494</v>
      </c>
      <c r="B5" s="4" t="s">
        <v>1499</v>
      </c>
      <c r="C5" s="4">
        <f>COUNTIFS(
Working_Data!Q:Q,"Yes",
Working_Data!R:R,""
)</f>
        <v>0</v>
      </c>
      <c r="D5" s="4" t="s">
        <v>1491</v>
      </c>
    </row>
    <row r="6" spans="1:4" ht="30.75" customHeight="1">
      <c r="A6" s="4" t="s">
        <v>1495</v>
      </c>
      <c r="B6" s="4" t="s">
        <v>1500</v>
      </c>
      <c r="C6" s="4">
        <f>SUMPRODUCT(--(Working_Data!V2:V347 &lt; Working_Data!R2:R347) * (Working_Data!V2:V347 &lt;&gt; ""))</f>
        <v>0</v>
      </c>
      <c r="D6" t="str">
        <f>IF(C5=0, "Pass", "Fail")</f>
        <v>Pass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3305-1A7C-4C0B-8240-AA792C6B3D5A}">
  <dimension ref="A1:F2"/>
  <sheetViews>
    <sheetView workbookViewId="0">
      <selection activeCell="F6" sqref="F6"/>
    </sheetView>
  </sheetViews>
  <sheetFormatPr defaultRowHeight="15"/>
  <cols>
    <col min="1" max="1" width="12.7109375" customWidth="1"/>
    <col min="2" max="2" width="9.5703125" customWidth="1"/>
    <col min="4" max="4" width="13.5703125" customWidth="1"/>
    <col min="5" max="5" width="21" customWidth="1"/>
    <col min="6" max="6" width="18.85546875" customWidth="1"/>
  </cols>
  <sheetData>
    <row r="1" spans="1:6">
      <c r="A1" t="s">
        <v>1536</v>
      </c>
      <c r="B1" t="s">
        <v>1537</v>
      </c>
      <c r="C1" t="s">
        <v>1538</v>
      </c>
      <c r="D1" t="s">
        <v>1539</v>
      </c>
      <c r="E1" t="s">
        <v>1540</v>
      </c>
      <c r="F1" t="s">
        <v>1541</v>
      </c>
    </row>
    <row r="2" spans="1:6">
      <c r="A2">
        <f>COUNTA(Working_Data!A2:A347)</f>
        <v>346</v>
      </c>
      <c r="B2">
        <f>COUNTIF(Working_Data!S:S, "Delivered")</f>
        <v>328</v>
      </c>
      <c r="C2">
        <f>SUM(Working_Data!J:J)</f>
        <v>1023789</v>
      </c>
      <c r="D2">
        <f>SUMPRODUCT(Working_Data!J2:J347, 1-(Working_Data!L2:L347/100))</f>
        <v>909607.34999999951</v>
      </c>
      <c r="E2">
        <f>AVERAGE(Working_Data!J2:J347)</f>
        <v>2958.9277456647401</v>
      </c>
      <c r="F2">
        <f>AVERAGE(Working_Data!L2:L347)</f>
        <v>9.7398843930635834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FC3D-C1A0-4C0F-A69C-492AF12E3BFD}">
  <dimension ref="A1:E5"/>
  <sheetViews>
    <sheetView workbookViewId="0">
      <selection activeCell="E9" sqref="E9"/>
    </sheetView>
  </sheetViews>
  <sheetFormatPr defaultColWidth="67.28515625" defaultRowHeight="15"/>
  <cols>
    <col min="3" max="3" width="75.85546875" customWidth="1"/>
    <col min="4" max="4" width="82" bestFit="1" customWidth="1"/>
  </cols>
  <sheetData>
    <row r="1" spans="1:5">
      <c r="A1" s="3" t="s">
        <v>1477</v>
      </c>
      <c r="B1" s="3" t="s">
        <v>1478</v>
      </c>
      <c r="C1" s="3" t="s">
        <v>1479</v>
      </c>
      <c r="D1" s="3" t="s">
        <v>1480</v>
      </c>
      <c r="E1" s="3" t="s">
        <v>1481</v>
      </c>
    </row>
    <row r="2" spans="1:5">
      <c r="A2" t="s">
        <v>1482</v>
      </c>
      <c r="B2" t="s">
        <v>1502</v>
      </c>
      <c r="C2" t="s">
        <v>1483</v>
      </c>
      <c r="D2" t="s">
        <v>1484</v>
      </c>
      <c r="E2" t="s">
        <v>1485</v>
      </c>
    </row>
    <row r="3" spans="1:5">
      <c r="A3" t="s">
        <v>1519</v>
      </c>
      <c r="B3" t="s">
        <v>1501</v>
      </c>
      <c r="C3" t="s">
        <v>1520</v>
      </c>
      <c r="D3" t="s">
        <v>1503</v>
      </c>
      <c r="E3" t="s">
        <v>1485</v>
      </c>
    </row>
    <row r="4" spans="1:5">
      <c r="A4" t="s">
        <v>1542</v>
      </c>
      <c r="B4" t="s">
        <v>18</v>
      </c>
      <c r="C4" t="s">
        <v>1543</v>
      </c>
      <c r="D4" t="s">
        <v>1544</v>
      </c>
      <c r="E4" t="s">
        <v>1545</v>
      </c>
    </row>
    <row r="5" spans="1:5">
      <c r="A5" t="s">
        <v>1557</v>
      </c>
      <c r="B5" t="s">
        <v>1556</v>
      </c>
      <c r="C5" t="s">
        <v>1558</v>
      </c>
      <c r="D5" t="s">
        <v>1559</v>
      </c>
      <c r="E5" t="s">
        <v>1560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0643-D644-4876-B031-73DF5897FF9E}">
  <dimension ref="A1:A23"/>
  <sheetViews>
    <sheetView tabSelected="1" workbookViewId="0">
      <selection activeCell="J15" sqref="J15"/>
    </sheetView>
  </sheetViews>
  <sheetFormatPr defaultRowHeight="15"/>
  <sheetData>
    <row r="1" spans="1:1">
      <c r="A1" t="s">
        <v>1521</v>
      </c>
    </row>
    <row r="3" spans="1:1">
      <c r="A3" t="s">
        <v>1523</v>
      </c>
    </row>
    <row r="4" spans="1:1">
      <c r="A4" t="s">
        <v>1522</v>
      </c>
    </row>
    <row r="5" spans="1:1">
      <c r="A5" s="6" t="s">
        <v>1553</v>
      </c>
    </row>
    <row r="8" spans="1:1">
      <c r="A8" t="s">
        <v>1524</v>
      </c>
    </row>
    <row r="9" spans="1:1">
      <c r="A9" t="s">
        <v>1525</v>
      </c>
    </row>
    <row r="10" spans="1:1">
      <c r="A10" t="s">
        <v>1526</v>
      </c>
    </row>
    <row r="11" spans="1:1">
      <c r="A11" t="s">
        <v>1527</v>
      </c>
    </row>
    <row r="14" spans="1:1">
      <c r="A14" t="s">
        <v>1528</v>
      </c>
    </row>
    <row r="15" spans="1:1">
      <c r="A15" t="s">
        <v>1529</v>
      </c>
    </row>
    <row r="16" spans="1:1">
      <c r="A16" t="s">
        <v>1530</v>
      </c>
    </row>
    <row r="17" spans="1:1">
      <c r="A17" t="s">
        <v>1531</v>
      </c>
    </row>
    <row r="20" spans="1:1">
      <c r="A20" t="s">
        <v>1532</v>
      </c>
    </row>
    <row r="21" spans="1:1">
      <c r="A21" t="s">
        <v>1533</v>
      </c>
    </row>
    <row r="22" spans="1:1">
      <c r="A22" t="s">
        <v>1534</v>
      </c>
    </row>
    <row r="23" spans="1:1">
      <c r="A23" s="6" t="s">
        <v>1535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raw_data(dont change)</vt:lpstr>
      <vt:lpstr>Working_Data</vt:lpstr>
      <vt:lpstr>Trend_Analysis</vt:lpstr>
      <vt:lpstr>Descriptive_Analysis</vt:lpstr>
      <vt:lpstr>VALIDATION_SUMMARY</vt:lpstr>
      <vt:lpstr>Final_KPIs</vt:lpstr>
      <vt:lpstr>Cleaning_Log</vt:lpstr>
      <vt:lpstr>Insights_Summary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balachandran</dc:creator>
  <cp:lastModifiedBy>Anand Balachandran</cp:lastModifiedBy>
  <dcterms:created xsi:type="dcterms:W3CDTF">2026-02-04T17:23:39Z</dcterms:created>
  <dcterms:modified xsi:type="dcterms:W3CDTF">2026-02-08T05:02:17Z</dcterms:modified>
</cp:coreProperties>
</file>